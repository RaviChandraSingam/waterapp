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/>
  <bookViews>
    <workbookView xWindow="0" yWindow="0" windowWidth="22260" windowHeight="12645"/>
  </bookViews>
  <sheets>
    <sheet name="summary" sheetId="1" r:id="rId1"/>
    <sheet name="consumption" sheetId="7" r:id="rId2"/>
    <sheet name="A block" sheetId="2" r:id="rId3"/>
    <sheet name="B block " sheetId="3" r:id="rId4"/>
    <sheet name="C block" sheetId="4" r:id="rId5"/>
    <sheet name="D block" sheetId="5" r:id="rId6"/>
    <sheet name="E block" sheetId="6" r:id="rId7"/>
  </sheets>
  <calcPr calcId="152511" calcOnSave="0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23" i="1" l="1"/>
  <c r="E61" i="6" l="1"/>
  <c r="E60" i="6"/>
  <c r="E59" i="6"/>
  <c r="E58" i="6"/>
  <c r="E57" i="6"/>
  <c r="E56" i="6"/>
  <c r="E55" i="6"/>
  <c r="E54" i="6"/>
  <c r="E53" i="6"/>
  <c r="E52" i="6"/>
  <c r="E51" i="6"/>
  <c r="E50" i="6"/>
  <c r="E49" i="6"/>
  <c r="E48" i="6"/>
  <c r="E47" i="6"/>
  <c r="E46" i="6"/>
  <c r="E45" i="6"/>
  <c r="E44" i="6"/>
  <c r="E43" i="6"/>
  <c r="E42" i="6"/>
  <c r="E41" i="6"/>
  <c r="E40" i="6"/>
  <c r="E39" i="6"/>
  <c r="E38" i="6"/>
  <c r="E37" i="6"/>
  <c r="E36" i="6"/>
  <c r="E35" i="6"/>
  <c r="E34" i="6"/>
  <c r="E33" i="6"/>
  <c r="E32" i="6"/>
  <c r="E31" i="6"/>
  <c r="E30" i="6"/>
  <c r="E29" i="6"/>
  <c r="E28" i="6"/>
  <c r="E27" i="6"/>
  <c r="E26" i="6"/>
  <c r="E25" i="6"/>
  <c r="E24" i="6"/>
  <c r="E23" i="6"/>
  <c r="E22" i="6"/>
  <c r="E21" i="6"/>
  <c r="E20" i="6"/>
  <c r="E19" i="6"/>
  <c r="E18" i="6"/>
  <c r="E17" i="6"/>
  <c r="E16" i="6"/>
  <c r="E15" i="6"/>
  <c r="E14" i="6"/>
  <c r="E13" i="6"/>
  <c r="E12" i="6"/>
  <c r="E11" i="6"/>
  <c r="E10" i="6"/>
  <c r="E9" i="6"/>
  <c r="E8" i="6"/>
  <c r="E7" i="6"/>
  <c r="E6" i="6"/>
  <c r="E5" i="6"/>
  <c r="E4" i="6"/>
  <c r="E3" i="6"/>
  <c r="E60" i="5"/>
  <c r="E59" i="5"/>
  <c r="E58" i="5"/>
  <c r="E57" i="5"/>
  <c r="E56" i="5"/>
  <c r="E55" i="5"/>
  <c r="E54" i="5"/>
  <c r="E53" i="5"/>
  <c r="E52" i="5"/>
  <c r="E51" i="5"/>
  <c r="E50" i="5"/>
  <c r="E49" i="5"/>
  <c r="E48" i="5"/>
  <c r="E47" i="5"/>
  <c r="E46" i="5"/>
  <c r="E45" i="5"/>
  <c r="E44" i="5"/>
  <c r="E43" i="5"/>
  <c r="E42" i="5"/>
  <c r="E41" i="5"/>
  <c r="E40" i="5"/>
  <c r="E39" i="5"/>
  <c r="E38" i="5"/>
  <c r="E37" i="5"/>
  <c r="E36" i="5"/>
  <c r="E35" i="5"/>
  <c r="E34" i="5"/>
  <c r="E33" i="5"/>
  <c r="E32" i="5"/>
  <c r="E31" i="5"/>
  <c r="E30" i="5"/>
  <c r="E29" i="5"/>
  <c r="E28" i="5"/>
  <c r="E27" i="5"/>
  <c r="E26" i="5"/>
  <c r="E25" i="5"/>
  <c r="E24" i="5"/>
  <c r="E23" i="5"/>
  <c r="E22" i="5"/>
  <c r="E21" i="5"/>
  <c r="E20" i="5"/>
  <c r="E19" i="5"/>
  <c r="E18" i="5"/>
  <c r="E17" i="5"/>
  <c r="E16" i="5"/>
  <c r="E15" i="5"/>
  <c r="E14" i="5"/>
  <c r="E13" i="5"/>
  <c r="E12" i="5"/>
  <c r="E11" i="5"/>
  <c r="E10" i="5"/>
  <c r="E9" i="5"/>
  <c r="E8" i="5"/>
  <c r="E7" i="5"/>
  <c r="E6" i="5"/>
  <c r="E5" i="5"/>
  <c r="E4" i="5"/>
  <c r="E3" i="5"/>
  <c r="E39" i="4"/>
  <c r="E38" i="4"/>
  <c r="E37" i="4"/>
  <c r="E36" i="4"/>
  <c r="E35" i="4"/>
  <c r="E34" i="4"/>
  <c r="E33" i="4"/>
  <c r="E32" i="4"/>
  <c r="E31" i="4"/>
  <c r="E30" i="4"/>
  <c r="E29" i="4"/>
  <c r="E28" i="4"/>
  <c r="E27" i="4"/>
  <c r="E26" i="4"/>
  <c r="E25" i="4"/>
  <c r="E24" i="4"/>
  <c r="E23" i="4"/>
  <c r="E22" i="4"/>
  <c r="E21" i="4"/>
  <c r="E20" i="4"/>
  <c r="E19" i="4"/>
  <c r="E18" i="4"/>
  <c r="E17" i="4"/>
  <c r="E16" i="4"/>
  <c r="E15" i="4"/>
  <c r="E14" i="4"/>
  <c r="E13" i="4"/>
  <c r="E12" i="4"/>
  <c r="E11" i="4"/>
  <c r="E10" i="4"/>
  <c r="E9" i="4"/>
  <c r="E8" i="4"/>
  <c r="E7" i="4"/>
  <c r="E6" i="4"/>
  <c r="E5" i="4"/>
  <c r="E4" i="4"/>
  <c r="E3" i="4"/>
  <c r="E40" i="3"/>
  <c r="E39" i="3"/>
  <c r="E38" i="3"/>
  <c r="E37" i="3"/>
  <c r="E36" i="3"/>
  <c r="E35" i="3"/>
  <c r="E34" i="3"/>
  <c r="E33" i="3"/>
  <c r="E32" i="3"/>
  <c r="E31" i="3"/>
  <c r="E30" i="3"/>
  <c r="E29" i="3"/>
  <c r="E28" i="3"/>
  <c r="E27" i="3"/>
  <c r="E26" i="3"/>
  <c r="E25" i="3"/>
  <c r="E24" i="3"/>
  <c r="E23" i="3"/>
  <c r="E22" i="3"/>
  <c r="E21" i="3"/>
  <c r="E20" i="3"/>
  <c r="E19" i="3"/>
  <c r="E18" i="3"/>
  <c r="E17" i="3"/>
  <c r="E16" i="3"/>
  <c r="E15" i="3"/>
  <c r="E14" i="3"/>
  <c r="E13" i="3"/>
  <c r="E12" i="3"/>
  <c r="E11" i="3"/>
  <c r="E10" i="3"/>
  <c r="E9" i="3"/>
  <c r="E8" i="3"/>
  <c r="E7" i="3"/>
  <c r="E6" i="3"/>
  <c r="E5" i="3"/>
  <c r="E4" i="3"/>
  <c r="E3" i="3"/>
  <c r="E50" i="2"/>
  <c r="E49" i="2"/>
  <c r="E48" i="2"/>
  <c r="E47" i="2"/>
  <c r="E46" i="2"/>
  <c r="E45" i="2"/>
  <c r="E44" i="2"/>
  <c r="E43" i="2"/>
  <c r="E42" i="2"/>
  <c r="E41" i="2"/>
  <c r="E40" i="2"/>
  <c r="E39" i="2"/>
  <c r="E38" i="2"/>
  <c r="E37" i="2"/>
  <c r="E36" i="2"/>
  <c r="E35" i="2"/>
  <c r="E34" i="2"/>
  <c r="E33" i="2"/>
  <c r="E32" i="2"/>
  <c r="E31" i="2"/>
  <c r="E30" i="2"/>
  <c r="E29" i="2"/>
  <c r="E28" i="2"/>
  <c r="E27" i="2"/>
  <c r="E26" i="2"/>
  <c r="E25" i="2"/>
  <c r="E24" i="2"/>
  <c r="E23" i="2"/>
  <c r="E22" i="2"/>
  <c r="E21" i="2"/>
  <c r="E20" i="2"/>
  <c r="E19" i="2"/>
  <c r="E18" i="2"/>
  <c r="E17" i="2"/>
  <c r="E16" i="2"/>
  <c r="E15" i="2"/>
  <c r="E14" i="2"/>
  <c r="E13" i="2"/>
  <c r="E12" i="2"/>
  <c r="E11" i="2"/>
  <c r="E10" i="2"/>
  <c r="E9" i="2"/>
  <c r="E8" i="2"/>
  <c r="E7" i="2"/>
  <c r="E6" i="2"/>
  <c r="E5" i="2"/>
  <c r="E4" i="2"/>
  <c r="E3" i="2"/>
  <c r="E51" i="2" l="1"/>
  <c r="B2" i="2" l="1"/>
  <c r="B2" i="3" l="1"/>
  <c r="D2" i="2"/>
  <c r="D3" i="7"/>
  <c r="D4" i="7"/>
  <c r="D5" i="7"/>
  <c r="D6" i="7"/>
  <c r="D7" i="7"/>
  <c r="D2" i="7"/>
  <c r="C1" i="7"/>
  <c r="B1" i="7"/>
  <c r="B22" i="1"/>
  <c r="D8" i="1" l="1"/>
  <c r="D7" i="1"/>
  <c r="D4" i="1"/>
  <c r="D5" i="1"/>
  <c r="D6" i="1"/>
  <c r="D3" i="1"/>
  <c r="B24" i="1" l="1"/>
  <c r="F9" i="2" l="1"/>
  <c r="D2" i="6" l="1"/>
  <c r="C2" i="6"/>
  <c r="B2" i="6"/>
  <c r="D2" i="5"/>
  <c r="C2" i="5"/>
  <c r="B2" i="5"/>
  <c r="D2" i="4"/>
  <c r="C2" i="4"/>
  <c r="B2" i="4"/>
  <c r="D2" i="3"/>
  <c r="C2" i="3"/>
  <c r="H61" i="6" l="1"/>
  <c r="G61" i="6"/>
  <c r="F61" i="6"/>
  <c r="H53" i="6"/>
  <c r="G53" i="6"/>
  <c r="F53" i="6"/>
  <c r="H41" i="6"/>
  <c r="G41" i="6"/>
  <c r="F41" i="6"/>
  <c r="H29" i="6"/>
  <c r="G29" i="6"/>
  <c r="F29" i="6"/>
  <c r="H21" i="6"/>
  <c r="G21" i="6"/>
  <c r="F21" i="6"/>
  <c r="H13" i="6"/>
  <c r="G13" i="6"/>
  <c r="F13" i="6"/>
  <c r="G60" i="6"/>
  <c r="F60" i="6"/>
  <c r="H60" i="6"/>
  <c r="G56" i="6"/>
  <c r="H56" i="6"/>
  <c r="F56" i="6"/>
  <c r="G52" i="6"/>
  <c r="F52" i="6"/>
  <c r="H52" i="6"/>
  <c r="G48" i="6"/>
  <c r="F48" i="6"/>
  <c r="H48" i="6"/>
  <c r="G44" i="6"/>
  <c r="F44" i="6"/>
  <c r="H44" i="6"/>
  <c r="G40" i="6"/>
  <c r="F40" i="6"/>
  <c r="H40" i="6"/>
  <c r="G36" i="6"/>
  <c r="F36" i="6"/>
  <c r="H36" i="6"/>
  <c r="G32" i="6"/>
  <c r="F32" i="6"/>
  <c r="H32" i="6"/>
  <c r="G28" i="6"/>
  <c r="F28" i="6"/>
  <c r="H28" i="6"/>
  <c r="G24" i="6"/>
  <c r="F24" i="6"/>
  <c r="H24" i="6"/>
  <c r="G20" i="6"/>
  <c r="F20" i="6"/>
  <c r="H20" i="6"/>
  <c r="G16" i="6"/>
  <c r="F16" i="6"/>
  <c r="H16" i="6"/>
  <c r="G12" i="6"/>
  <c r="F12" i="6"/>
  <c r="H12" i="6"/>
  <c r="G8" i="6"/>
  <c r="F8" i="6"/>
  <c r="H8" i="6"/>
  <c r="G4" i="6"/>
  <c r="F4" i="6"/>
  <c r="H4" i="6"/>
  <c r="H57" i="6"/>
  <c r="G57" i="6"/>
  <c r="F57" i="6"/>
  <c r="H45" i="6"/>
  <c r="G45" i="6"/>
  <c r="F45" i="6"/>
  <c r="H33" i="6"/>
  <c r="G33" i="6"/>
  <c r="F33" i="6"/>
  <c r="H9" i="6"/>
  <c r="G9" i="6"/>
  <c r="F9" i="6"/>
  <c r="F59" i="6"/>
  <c r="G59" i="6"/>
  <c r="H59" i="6"/>
  <c r="F55" i="6"/>
  <c r="H55" i="6"/>
  <c r="G55" i="6"/>
  <c r="F51" i="6"/>
  <c r="H51" i="6"/>
  <c r="G51" i="6"/>
  <c r="F47" i="6"/>
  <c r="H47" i="6"/>
  <c r="G47" i="6"/>
  <c r="F43" i="6"/>
  <c r="G43" i="6"/>
  <c r="H43" i="6"/>
  <c r="F39" i="6"/>
  <c r="G39" i="6"/>
  <c r="H39" i="6"/>
  <c r="F35" i="6"/>
  <c r="H35" i="6"/>
  <c r="G35" i="6"/>
  <c r="F31" i="6"/>
  <c r="H31" i="6"/>
  <c r="G31" i="6"/>
  <c r="F27" i="6"/>
  <c r="H27" i="6"/>
  <c r="G27" i="6"/>
  <c r="F23" i="6"/>
  <c r="G23" i="6"/>
  <c r="H23" i="6"/>
  <c r="F19" i="6"/>
  <c r="G19" i="6"/>
  <c r="H19" i="6"/>
  <c r="F15" i="6"/>
  <c r="H15" i="6"/>
  <c r="G15" i="6"/>
  <c r="F11" i="6"/>
  <c r="H11" i="6"/>
  <c r="G11" i="6"/>
  <c r="F7" i="6"/>
  <c r="H7" i="6"/>
  <c r="G7" i="6"/>
  <c r="H49" i="6"/>
  <c r="G49" i="6"/>
  <c r="F49" i="6"/>
  <c r="H37" i="6"/>
  <c r="G37" i="6"/>
  <c r="F37" i="6"/>
  <c r="H25" i="6"/>
  <c r="G25" i="6"/>
  <c r="F25" i="6"/>
  <c r="H17" i="6"/>
  <c r="G17" i="6"/>
  <c r="F17" i="6"/>
  <c r="H5" i="6"/>
  <c r="G5" i="6"/>
  <c r="F5" i="6"/>
  <c r="F3" i="6"/>
  <c r="G3" i="6"/>
  <c r="H3" i="6"/>
  <c r="F58" i="6"/>
  <c r="H58" i="6"/>
  <c r="G58" i="6"/>
  <c r="F54" i="6"/>
  <c r="H54" i="6"/>
  <c r="G54" i="6"/>
  <c r="F50" i="6"/>
  <c r="H50" i="6"/>
  <c r="G50" i="6"/>
  <c r="F46" i="6"/>
  <c r="H46" i="6"/>
  <c r="G46" i="6"/>
  <c r="H42" i="6"/>
  <c r="G42" i="6"/>
  <c r="F42" i="6"/>
  <c r="H38" i="6"/>
  <c r="G38" i="6"/>
  <c r="F38" i="6"/>
  <c r="F34" i="6"/>
  <c r="H34" i="6"/>
  <c r="G34" i="6"/>
  <c r="F30" i="6"/>
  <c r="H30" i="6"/>
  <c r="G30" i="6"/>
  <c r="F26" i="6"/>
  <c r="H26" i="6"/>
  <c r="G26" i="6"/>
  <c r="H22" i="6"/>
  <c r="G22" i="6"/>
  <c r="F22" i="6"/>
  <c r="H18" i="6"/>
  <c r="G18" i="6"/>
  <c r="F18" i="6"/>
  <c r="F14" i="6"/>
  <c r="H14" i="6"/>
  <c r="G14" i="6"/>
  <c r="F10" i="6"/>
  <c r="H10" i="6"/>
  <c r="G10" i="6"/>
  <c r="F6" i="6"/>
  <c r="H6" i="6"/>
  <c r="G6" i="6"/>
  <c r="G58" i="5"/>
  <c r="F58" i="5"/>
  <c r="H58" i="5"/>
  <c r="G50" i="5"/>
  <c r="F50" i="5"/>
  <c r="H50" i="5"/>
  <c r="G42" i="5"/>
  <c r="F42" i="5"/>
  <c r="H42" i="5"/>
  <c r="G26" i="5"/>
  <c r="H26" i="5"/>
  <c r="F26" i="5"/>
  <c r="G18" i="5"/>
  <c r="F18" i="5"/>
  <c r="H18" i="5"/>
  <c r="G10" i="5"/>
  <c r="F10" i="5"/>
  <c r="H10" i="5"/>
  <c r="H3" i="5"/>
  <c r="G3" i="5"/>
  <c r="F3" i="5"/>
  <c r="F57" i="5"/>
  <c r="G57" i="5"/>
  <c r="H57" i="5"/>
  <c r="F53" i="5"/>
  <c r="G53" i="5"/>
  <c r="H53" i="5"/>
  <c r="F49" i="5"/>
  <c r="G49" i="5"/>
  <c r="H49" i="5"/>
  <c r="F45" i="5"/>
  <c r="G45" i="5"/>
  <c r="H45" i="5"/>
  <c r="F41" i="5"/>
  <c r="G41" i="5"/>
  <c r="H41" i="5"/>
  <c r="F37" i="5"/>
  <c r="G37" i="5"/>
  <c r="H37" i="5"/>
  <c r="F33" i="5"/>
  <c r="G33" i="5"/>
  <c r="H33" i="5"/>
  <c r="F29" i="5"/>
  <c r="G29" i="5"/>
  <c r="H29" i="5"/>
  <c r="F25" i="5"/>
  <c r="H25" i="5"/>
  <c r="G25" i="5"/>
  <c r="F21" i="5"/>
  <c r="H21" i="5"/>
  <c r="G21" i="5"/>
  <c r="F17" i="5"/>
  <c r="G17" i="5"/>
  <c r="H17" i="5"/>
  <c r="F13" i="5"/>
  <c r="G13" i="5"/>
  <c r="H13" i="5"/>
  <c r="F9" i="5"/>
  <c r="H9" i="5"/>
  <c r="G9" i="5"/>
  <c r="F5" i="5"/>
  <c r="H5" i="5"/>
  <c r="G5" i="5"/>
  <c r="G46" i="5"/>
  <c r="F46" i="5"/>
  <c r="H46" i="5"/>
  <c r="G38" i="5"/>
  <c r="F38" i="5"/>
  <c r="H38" i="5"/>
  <c r="G30" i="5"/>
  <c r="F30" i="5"/>
  <c r="H30" i="5"/>
  <c r="G22" i="5"/>
  <c r="F22" i="5"/>
  <c r="H22" i="5"/>
  <c r="G6" i="5"/>
  <c r="F6" i="5"/>
  <c r="H6" i="5"/>
  <c r="F60" i="5"/>
  <c r="H60" i="5"/>
  <c r="G60" i="5"/>
  <c r="H56" i="5"/>
  <c r="G56" i="5"/>
  <c r="F56" i="5"/>
  <c r="H52" i="5"/>
  <c r="G52" i="5"/>
  <c r="F52" i="5"/>
  <c r="H48" i="5"/>
  <c r="F48" i="5"/>
  <c r="G48" i="5"/>
  <c r="H44" i="5"/>
  <c r="F44" i="5"/>
  <c r="G44" i="5"/>
  <c r="H40" i="5"/>
  <c r="G40" i="5"/>
  <c r="F40" i="5"/>
  <c r="H36" i="5"/>
  <c r="G36" i="5"/>
  <c r="F36" i="5"/>
  <c r="H32" i="5"/>
  <c r="F32" i="5"/>
  <c r="G32" i="5"/>
  <c r="H28" i="5"/>
  <c r="F28" i="5"/>
  <c r="G28" i="5"/>
  <c r="F24" i="5"/>
  <c r="H24" i="5"/>
  <c r="G24" i="5"/>
  <c r="F20" i="5"/>
  <c r="H20" i="5"/>
  <c r="G20" i="5"/>
  <c r="F16" i="5"/>
  <c r="H16" i="5"/>
  <c r="G16" i="5"/>
  <c r="F12" i="5"/>
  <c r="H12" i="5"/>
  <c r="G12" i="5"/>
  <c r="F8" i="5"/>
  <c r="H8" i="5"/>
  <c r="G8" i="5"/>
  <c r="F4" i="5"/>
  <c r="H4" i="5"/>
  <c r="G4" i="5"/>
  <c r="G54" i="5"/>
  <c r="F54" i="5"/>
  <c r="H54" i="5"/>
  <c r="G34" i="5"/>
  <c r="F34" i="5"/>
  <c r="H34" i="5"/>
  <c r="G14" i="5"/>
  <c r="F14" i="5"/>
  <c r="H14" i="5"/>
  <c r="H59" i="5"/>
  <c r="G59" i="5"/>
  <c r="F59" i="5"/>
  <c r="H55" i="5"/>
  <c r="G55" i="5"/>
  <c r="F55" i="5"/>
  <c r="H51" i="5"/>
  <c r="G51" i="5"/>
  <c r="F51" i="5"/>
  <c r="H47" i="5"/>
  <c r="G47" i="5"/>
  <c r="F47" i="5"/>
  <c r="H43" i="5"/>
  <c r="G43" i="5"/>
  <c r="F43" i="5"/>
  <c r="H39" i="5"/>
  <c r="G39" i="5"/>
  <c r="F39" i="5"/>
  <c r="H35" i="5"/>
  <c r="G35" i="5"/>
  <c r="F35" i="5"/>
  <c r="H31" i="5"/>
  <c r="G31" i="5"/>
  <c r="F31" i="5"/>
  <c r="H27" i="5"/>
  <c r="G27" i="5"/>
  <c r="F27" i="5"/>
  <c r="H23" i="5"/>
  <c r="G23" i="5"/>
  <c r="F23" i="5"/>
  <c r="H19" i="5"/>
  <c r="G19" i="5"/>
  <c r="F19" i="5"/>
  <c r="H15" i="5"/>
  <c r="G15" i="5"/>
  <c r="F15" i="5"/>
  <c r="H11" i="5"/>
  <c r="G11" i="5"/>
  <c r="F11" i="5"/>
  <c r="H7" i="5"/>
  <c r="G7" i="5"/>
  <c r="F7" i="5"/>
  <c r="H32" i="4"/>
  <c r="G32" i="4"/>
  <c r="F32" i="4"/>
  <c r="H20" i="4"/>
  <c r="G20" i="4"/>
  <c r="F20" i="4"/>
  <c r="H8" i="4"/>
  <c r="G8" i="4"/>
  <c r="F8" i="4"/>
  <c r="G39" i="4"/>
  <c r="F39" i="4"/>
  <c r="H39" i="4"/>
  <c r="G35" i="4"/>
  <c r="F35" i="4"/>
  <c r="H35" i="4"/>
  <c r="G31" i="4"/>
  <c r="F31" i="4"/>
  <c r="H31" i="4"/>
  <c r="G27" i="4"/>
  <c r="F27" i="4"/>
  <c r="H27" i="4"/>
  <c r="G23" i="4"/>
  <c r="F23" i="4"/>
  <c r="H23" i="4"/>
  <c r="G19" i="4"/>
  <c r="H19" i="4"/>
  <c r="F19" i="4"/>
  <c r="G15" i="4"/>
  <c r="H15" i="4"/>
  <c r="F15" i="4"/>
  <c r="G11" i="4"/>
  <c r="H11" i="4"/>
  <c r="F11" i="4"/>
  <c r="G7" i="4"/>
  <c r="F7" i="4"/>
  <c r="H7" i="4"/>
  <c r="G3" i="4"/>
  <c r="F3" i="4"/>
  <c r="H3" i="4"/>
  <c r="H28" i="4"/>
  <c r="G28" i="4"/>
  <c r="F28" i="4"/>
  <c r="H16" i="4"/>
  <c r="G16" i="4"/>
  <c r="F16" i="4"/>
  <c r="H4" i="4"/>
  <c r="G4" i="4"/>
  <c r="F4" i="4"/>
  <c r="F38" i="4"/>
  <c r="H38" i="4"/>
  <c r="G38" i="4"/>
  <c r="F34" i="4"/>
  <c r="G34" i="4"/>
  <c r="H34" i="4"/>
  <c r="F30" i="4"/>
  <c r="G30" i="4"/>
  <c r="H30" i="4"/>
  <c r="F26" i="4"/>
  <c r="G26" i="4"/>
  <c r="H26" i="4"/>
  <c r="F22" i="4"/>
  <c r="G22" i="4"/>
  <c r="H22" i="4"/>
  <c r="F18" i="4"/>
  <c r="H18" i="4"/>
  <c r="G18" i="4"/>
  <c r="F14" i="4"/>
  <c r="H14" i="4"/>
  <c r="G14" i="4"/>
  <c r="F10" i="4"/>
  <c r="H10" i="4"/>
  <c r="G10" i="4"/>
  <c r="F6" i="4"/>
  <c r="G6" i="4"/>
  <c r="H6" i="4"/>
  <c r="H36" i="4"/>
  <c r="G36" i="4"/>
  <c r="F36" i="4"/>
  <c r="H24" i="4"/>
  <c r="G24" i="4"/>
  <c r="F24" i="4"/>
  <c r="H12" i="4"/>
  <c r="G12" i="4"/>
  <c r="F12" i="4"/>
  <c r="F37" i="4"/>
  <c r="H37" i="4"/>
  <c r="G37" i="4"/>
  <c r="F33" i="4"/>
  <c r="H33" i="4"/>
  <c r="G33" i="4"/>
  <c r="H29" i="4"/>
  <c r="F29" i="4"/>
  <c r="G29" i="4"/>
  <c r="H25" i="4"/>
  <c r="F25" i="4"/>
  <c r="G25" i="4"/>
  <c r="H21" i="4"/>
  <c r="F21" i="4"/>
  <c r="G21" i="4"/>
  <c r="H17" i="4"/>
  <c r="F17" i="4"/>
  <c r="G17" i="4"/>
  <c r="H13" i="4"/>
  <c r="F13" i="4"/>
  <c r="G13" i="4"/>
  <c r="H9" i="4"/>
  <c r="F9" i="4"/>
  <c r="G9" i="4"/>
  <c r="H5" i="4"/>
  <c r="F5" i="4"/>
  <c r="G5" i="4"/>
  <c r="H35" i="3"/>
  <c r="G35" i="3"/>
  <c r="F35" i="3"/>
  <c r="H23" i="3"/>
  <c r="F23" i="3"/>
  <c r="G23" i="3"/>
  <c r="H7" i="3"/>
  <c r="F7" i="3"/>
  <c r="G7" i="3"/>
  <c r="H38" i="3"/>
  <c r="G38" i="3"/>
  <c r="F38" i="3"/>
  <c r="H34" i="3"/>
  <c r="G34" i="3"/>
  <c r="F34" i="3"/>
  <c r="H30" i="3"/>
  <c r="G30" i="3"/>
  <c r="F30" i="3"/>
  <c r="H26" i="3"/>
  <c r="G26" i="3"/>
  <c r="F26" i="3"/>
  <c r="H22" i="3"/>
  <c r="G22" i="3"/>
  <c r="F22" i="3"/>
  <c r="H18" i="3"/>
  <c r="G18" i="3"/>
  <c r="F18" i="3"/>
  <c r="H14" i="3"/>
  <c r="G14" i="3"/>
  <c r="F14" i="3"/>
  <c r="H10" i="3"/>
  <c r="G10" i="3"/>
  <c r="F10" i="3"/>
  <c r="H6" i="3"/>
  <c r="G6" i="3"/>
  <c r="F6" i="3"/>
  <c r="F31" i="3"/>
  <c r="H31" i="3"/>
  <c r="G31" i="3"/>
  <c r="H11" i="3"/>
  <c r="F11" i="3"/>
  <c r="G11" i="3"/>
  <c r="H3" i="3"/>
  <c r="F3" i="3"/>
  <c r="G3" i="3"/>
  <c r="G37" i="3"/>
  <c r="F37" i="3"/>
  <c r="H37" i="3"/>
  <c r="G33" i="3"/>
  <c r="H33" i="3"/>
  <c r="F33" i="3"/>
  <c r="G29" i="3"/>
  <c r="F29" i="3"/>
  <c r="H29" i="3"/>
  <c r="G25" i="3"/>
  <c r="F25" i="3"/>
  <c r="H25" i="3"/>
  <c r="G21" i="3"/>
  <c r="F21" i="3"/>
  <c r="H21" i="3"/>
  <c r="G17" i="3"/>
  <c r="F17" i="3"/>
  <c r="H17" i="3"/>
  <c r="G13" i="3"/>
  <c r="H13" i="3"/>
  <c r="F13" i="3"/>
  <c r="G9" i="3"/>
  <c r="F9" i="3"/>
  <c r="H9" i="3"/>
  <c r="G5" i="3"/>
  <c r="H5" i="3"/>
  <c r="F5" i="3"/>
  <c r="F39" i="3"/>
  <c r="H39" i="3"/>
  <c r="G39" i="3"/>
  <c r="H27" i="3"/>
  <c r="F27" i="3"/>
  <c r="G27" i="3"/>
  <c r="H19" i="3"/>
  <c r="F19" i="3"/>
  <c r="G19" i="3"/>
  <c r="H15" i="3"/>
  <c r="F15" i="3"/>
  <c r="G15" i="3"/>
  <c r="F40" i="3"/>
  <c r="G40" i="3"/>
  <c r="H40" i="3"/>
  <c r="F36" i="3"/>
  <c r="G36" i="3"/>
  <c r="H36" i="3"/>
  <c r="F32" i="3"/>
  <c r="G32" i="3"/>
  <c r="H32" i="3"/>
  <c r="F28" i="3"/>
  <c r="G28" i="3"/>
  <c r="H28" i="3"/>
  <c r="F24" i="3"/>
  <c r="G24" i="3"/>
  <c r="H24" i="3"/>
  <c r="F20" i="3"/>
  <c r="G20" i="3"/>
  <c r="H20" i="3"/>
  <c r="F16" i="3"/>
  <c r="G16" i="3"/>
  <c r="H16" i="3"/>
  <c r="F12" i="3"/>
  <c r="H12" i="3"/>
  <c r="G12" i="3"/>
  <c r="F8" i="3"/>
  <c r="G8" i="3"/>
  <c r="H8" i="3"/>
  <c r="F4" i="3"/>
  <c r="H4" i="3"/>
  <c r="G4" i="3"/>
  <c r="H43" i="2"/>
  <c r="G43" i="2"/>
  <c r="F43" i="2"/>
  <c r="H27" i="2"/>
  <c r="G27" i="2"/>
  <c r="F27" i="2"/>
  <c r="G49" i="2"/>
  <c r="F49" i="2"/>
  <c r="H49" i="2"/>
  <c r="G45" i="2"/>
  <c r="F45" i="2"/>
  <c r="H45" i="2"/>
  <c r="G41" i="2"/>
  <c r="F41" i="2"/>
  <c r="H41" i="2"/>
  <c r="G37" i="2"/>
  <c r="F37" i="2"/>
  <c r="H37" i="2"/>
  <c r="G33" i="2"/>
  <c r="F33" i="2"/>
  <c r="H33" i="2"/>
  <c r="G29" i="2"/>
  <c r="F29" i="2"/>
  <c r="H29" i="2"/>
  <c r="G25" i="2"/>
  <c r="F25" i="2"/>
  <c r="H25" i="2"/>
  <c r="G21" i="2"/>
  <c r="F21" i="2"/>
  <c r="H21" i="2"/>
  <c r="G17" i="2"/>
  <c r="F17" i="2"/>
  <c r="H17" i="2"/>
  <c r="G13" i="2"/>
  <c r="F13" i="2"/>
  <c r="H13" i="2"/>
  <c r="G9" i="2"/>
  <c r="H9" i="2"/>
  <c r="G5" i="2"/>
  <c r="F5" i="2"/>
  <c r="H5" i="2"/>
  <c r="H3" i="2"/>
  <c r="G3" i="2"/>
  <c r="F3" i="2"/>
  <c r="H39" i="2"/>
  <c r="G39" i="2"/>
  <c r="F39" i="2"/>
  <c r="H23" i="2"/>
  <c r="G23" i="2"/>
  <c r="F23" i="2"/>
  <c r="F48" i="2"/>
  <c r="H48" i="2"/>
  <c r="G48" i="2"/>
  <c r="F44" i="2"/>
  <c r="H44" i="2"/>
  <c r="G44" i="2"/>
  <c r="F40" i="2"/>
  <c r="H40" i="2"/>
  <c r="G40" i="2"/>
  <c r="F36" i="2"/>
  <c r="H36" i="2"/>
  <c r="G36" i="2"/>
  <c r="F32" i="2"/>
  <c r="H32" i="2"/>
  <c r="G32" i="2"/>
  <c r="F28" i="2"/>
  <c r="H28" i="2"/>
  <c r="G28" i="2"/>
  <c r="F24" i="2"/>
  <c r="H24" i="2"/>
  <c r="G24" i="2"/>
  <c r="F20" i="2"/>
  <c r="H20" i="2"/>
  <c r="G20" i="2"/>
  <c r="F16" i="2"/>
  <c r="H16" i="2"/>
  <c r="G16" i="2"/>
  <c r="F12" i="2"/>
  <c r="H12" i="2"/>
  <c r="G12" i="2"/>
  <c r="F8" i="2"/>
  <c r="H8" i="2"/>
  <c r="G8" i="2"/>
  <c r="F4" i="2"/>
  <c r="H4" i="2"/>
  <c r="G4" i="2"/>
  <c r="H35" i="2"/>
  <c r="G35" i="2"/>
  <c r="F35" i="2"/>
  <c r="H19" i="2"/>
  <c r="G19" i="2"/>
  <c r="F19" i="2"/>
  <c r="H15" i="2"/>
  <c r="G15" i="2"/>
  <c r="F15" i="2"/>
  <c r="H11" i="2"/>
  <c r="G11" i="2"/>
  <c r="F11" i="2"/>
  <c r="H7" i="2"/>
  <c r="G7" i="2"/>
  <c r="F7" i="2"/>
  <c r="H47" i="2"/>
  <c r="G47" i="2"/>
  <c r="F47" i="2"/>
  <c r="H31" i="2"/>
  <c r="G31" i="2"/>
  <c r="F31" i="2"/>
  <c r="H50" i="2"/>
  <c r="G50" i="2"/>
  <c r="F50" i="2"/>
  <c r="H46" i="2"/>
  <c r="G46" i="2"/>
  <c r="F46" i="2"/>
  <c r="H42" i="2"/>
  <c r="G42" i="2"/>
  <c r="F42" i="2"/>
  <c r="H38" i="2"/>
  <c r="G38" i="2"/>
  <c r="F38" i="2"/>
  <c r="H34" i="2"/>
  <c r="G34" i="2"/>
  <c r="F34" i="2"/>
  <c r="H30" i="2"/>
  <c r="G30" i="2"/>
  <c r="F30" i="2"/>
  <c r="H26" i="2"/>
  <c r="G26" i="2"/>
  <c r="F26" i="2"/>
  <c r="H22" i="2"/>
  <c r="G22" i="2"/>
  <c r="F22" i="2"/>
  <c r="H18" i="2"/>
  <c r="G18" i="2"/>
  <c r="F18" i="2"/>
  <c r="H14" i="2"/>
  <c r="G14" i="2"/>
  <c r="F14" i="2"/>
  <c r="H10" i="2"/>
  <c r="G10" i="2"/>
  <c r="F10" i="2"/>
  <c r="H6" i="2"/>
  <c r="G6" i="2"/>
  <c r="F6" i="2"/>
  <c r="D8" i="7" l="1"/>
  <c r="D16" i="1" s="1"/>
  <c r="D11" i="1" l="1"/>
  <c r="E62" i="6"/>
  <c r="D15" i="1" s="1"/>
  <c r="D9" i="1" l="1"/>
  <c r="B25" i="1" s="1"/>
  <c r="E40" i="4"/>
  <c r="D13" i="1" s="1"/>
  <c r="E41" i="3"/>
  <c r="D12" i="1" s="1"/>
  <c r="E61" i="5"/>
  <c r="D14" i="1" s="1"/>
  <c r="L1" i="6" l="1"/>
  <c r="K34" i="6" s="1"/>
  <c r="L1" i="5"/>
  <c r="K8" i="5" s="1"/>
  <c r="L1" i="3"/>
  <c r="K11" i="3" s="1"/>
  <c r="L1" i="2"/>
  <c r="K20" i="2" s="1"/>
  <c r="L1" i="4"/>
  <c r="J3" i="4" s="1"/>
  <c r="J61" i="6"/>
  <c r="D17" i="1"/>
  <c r="K16" i="6" l="1"/>
  <c r="I17" i="4"/>
  <c r="I59" i="6"/>
  <c r="J34" i="6"/>
  <c r="I27" i="4"/>
  <c r="I12" i="4"/>
  <c r="J19" i="6"/>
  <c r="I38" i="4"/>
  <c r="I22" i="6"/>
  <c r="I15" i="6"/>
  <c r="K3" i="4"/>
  <c r="K26" i="4"/>
  <c r="J10" i="6"/>
  <c r="I50" i="6"/>
  <c r="I5" i="5"/>
  <c r="I7" i="4"/>
  <c r="K27" i="4"/>
  <c r="J23" i="4"/>
  <c r="J46" i="6"/>
  <c r="I38" i="6"/>
  <c r="I18" i="6"/>
  <c r="I8" i="6"/>
  <c r="J17" i="5"/>
  <c r="K33" i="4"/>
  <c r="K13" i="4"/>
  <c r="K24" i="4"/>
  <c r="J12" i="6"/>
  <c r="K28" i="6"/>
  <c r="K53" i="6"/>
  <c r="K42" i="6"/>
  <c r="I19" i="3"/>
  <c r="I24" i="3"/>
  <c r="J49" i="2"/>
  <c r="K6" i="3"/>
  <c r="K22" i="2"/>
  <c r="J5" i="5"/>
  <c r="K57" i="5"/>
  <c r="I7" i="5"/>
  <c r="K34" i="4"/>
  <c r="I13" i="4"/>
  <c r="I33" i="4"/>
  <c r="I32" i="4"/>
  <c r="K16" i="4"/>
  <c r="I18" i="4"/>
  <c r="K45" i="6"/>
  <c r="J31" i="6"/>
  <c r="J16" i="6"/>
  <c r="K17" i="6"/>
  <c r="J36" i="6"/>
  <c r="J54" i="6"/>
  <c r="I24" i="6"/>
  <c r="I36" i="6"/>
  <c r="J43" i="5"/>
  <c r="K54" i="5"/>
  <c r="J25" i="2"/>
  <c r="J37" i="4"/>
  <c r="I4" i="4"/>
  <c r="K29" i="4"/>
  <c r="I23" i="4"/>
  <c r="J11" i="4"/>
  <c r="J31" i="4"/>
  <c r="J40" i="6"/>
  <c r="J59" i="6"/>
  <c r="J27" i="6"/>
  <c r="K3" i="6"/>
  <c r="J30" i="6"/>
  <c r="I35" i="6"/>
  <c r="J25" i="6"/>
  <c r="J53" i="6"/>
  <c r="K40" i="5"/>
  <c r="I54" i="5"/>
  <c r="J20" i="5"/>
  <c r="K56" i="5"/>
  <c r="J51" i="5"/>
  <c r="K46" i="5"/>
  <c r="I36" i="5"/>
  <c r="J56" i="5"/>
  <c r="K42" i="5"/>
  <c r="J60" i="5"/>
  <c r="K39" i="5"/>
  <c r="J48" i="5"/>
  <c r="I11" i="5"/>
  <c r="J29" i="5"/>
  <c r="J12" i="4"/>
  <c r="J34" i="4"/>
  <c r="K39" i="4"/>
  <c r="I35" i="4"/>
  <c r="I15" i="4"/>
  <c r="I9" i="4"/>
  <c r="J6" i="4"/>
  <c r="J29" i="4"/>
  <c r="J8" i="4"/>
  <c r="I26" i="4"/>
  <c r="K38" i="4"/>
  <c r="K32" i="4"/>
  <c r="K59" i="6"/>
  <c r="J11" i="6"/>
  <c r="I33" i="6"/>
  <c r="I54" i="6"/>
  <c r="K35" i="6"/>
  <c r="I7" i="6"/>
  <c r="J8" i="6"/>
  <c r="I29" i="6"/>
  <c r="J6" i="6"/>
  <c r="J15" i="6"/>
  <c r="I14" i="6"/>
  <c r="K33" i="6"/>
  <c r="I13" i="6"/>
  <c r="K26" i="6"/>
  <c r="I60" i="6"/>
  <c r="K54" i="6"/>
  <c r="J40" i="5"/>
  <c r="I10" i="5"/>
  <c r="I55" i="5"/>
  <c r="K15" i="5"/>
  <c r="K21" i="5"/>
  <c r="I52" i="5"/>
  <c r="J3" i="2"/>
  <c r="J22" i="4"/>
  <c r="I36" i="4"/>
  <c r="J30" i="4"/>
  <c r="K31" i="4"/>
  <c r="I3" i="4"/>
  <c r="L3" i="4" s="1"/>
  <c r="K30" i="4"/>
  <c r="I5" i="4"/>
  <c r="J14" i="4"/>
  <c r="J5" i="4"/>
  <c r="J7" i="4"/>
  <c r="J56" i="6"/>
  <c r="K60" i="6"/>
  <c r="I6" i="6"/>
  <c r="K41" i="6"/>
  <c r="J24" i="6"/>
  <c r="K52" i="6"/>
  <c r="K20" i="6"/>
  <c r="K48" i="6"/>
  <c r="K25" i="6"/>
  <c r="K55" i="6"/>
  <c r="K24" i="6"/>
  <c r="K37" i="6"/>
  <c r="J28" i="6"/>
  <c r="K36" i="6"/>
  <c r="K46" i="6"/>
  <c r="J5" i="6"/>
  <c r="K12" i="5"/>
  <c r="J7" i="5"/>
  <c r="K4" i="5"/>
  <c r="K13" i="5"/>
  <c r="J41" i="5"/>
  <c r="I48" i="5"/>
  <c r="J18" i="5"/>
  <c r="K22" i="5"/>
  <c r="K20" i="5"/>
  <c r="I27" i="5"/>
  <c r="K10" i="5"/>
  <c r="I18" i="5"/>
  <c r="I37" i="5"/>
  <c r="J3" i="5"/>
  <c r="J49" i="5"/>
  <c r="I20" i="5"/>
  <c r="I4" i="5"/>
  <c r="J50" i="5"/>
  <c r="K28" i="5"/>
  <c r="I43" i="5"/>
  <c r="K35" i="5"/>
  <c r="I29" i="5"/>
  <c r="K47" i="5"/>
  <c r="I46" i="5"/>
  <c r="I39" i="5"/>
  <c r="K43" i="5"/>
  <c r="K5" i="5"/>
  <c r="K18" i="5"/>
  <c r="I34" i="5"/>
  <c r="I19" i="5"/>
  <c r="I24" i="5"/>
  <c r="J13" i="5"/>
  <c r="K27" i="5"/>
  <c r="I35" i="5"/>
  <c r="K44" i="5"/>
  <c r="J38" i="5"/>
  <c r="I30" i="5"/>
  <c r="K33" i="5"/>
  <c r="K36" i="5"/>
  <c r="I9" i="5"/>
  <c r="K11" i="5"/>
  <c r="I26" i="5"/>
  <c r="I13" i="5"/>
  <c r="J25" i="5"/>
  <c r="I8" i="5"/>
  <c r="I14" i="5"/>
  <c r="J39" i="4"/>
  <c r="I30" i="4"/>
  <c r="K4" i="4"/>
  <c r="J35" i="4"/>
  <c r="I22" i="4"/>
  <c r="J15" i="4"/>
  <c r="I10" i="4"/>
  <c r="K25" i="4"/>
  <c r="K23" i="4"/>
  <c r="K5" i="4"/>
  <c r="I8" i="4"/>
  <c r="I37" i="4"/>
  <c r="K9" i="4"/>
  <c r="J21" i="4"/>
  <c r="K21" i="4"/>
  <c r="I24" i="4"/>
  <c r="K7" i="4"/>
  <c r="I21" i="4"/>
  <c r="J17" i="4"/>
  <c r="K15" i="4"/>
  <c r="J4" i="4"/>
  <c r="I31" i="4"/>
  <c r="J24" i="4"/>
  <c r="K18" i="4"/>
  <c r="J32" i="4"/>
  <c r="K17" i="4"/>
  <c r="J25" i="4"/>
  <c r="J33" i="4"/>
  <c r="K28" i="4"/>
  <c r="J19" i="4"/>
  <c r="K36" i="4"/>
  <c r="K8" i="4"/>
  <c r="K12" i="4"/>
  <c r="J27" i="4"/>
  <c r="K10" i="4"/>
  <c r="K19" i="4"/>
  <c r="J28" i="4"/>
  <c r="J18" i="4"/>
  <c r="I11" i="4"/>
  <c r="K14" i="4"/>
  <c r="K11" i="4"/>
  <c r="K22" i="4"/>
  <c r="J10" i="4"/>
  <c r="K6" i="4"/>
  <c r="K35" i="4"/>
  <c r="I16" i="4"/>
  <c r="I39" i="4"/>
  <c r="J20" i="4"/>
  <c r="J36" i="4"/>
  <c r="K50" i="6"/>
  <c r="J33" i="6"/>
  <c r="I16" i="6"/>
  <c r="K38" i="6"/>
  <c r="J21" i="6"/>
  <c r="I4" i="6"/>
  <c r="I28" i="6"/>
  <c r="K10" i="6"/>
  <c r="J45" i="6"/>
  <c r="K58" i="6"/>
  <c r="I12" i="6"/>
  <c r="J32" i="6"/>
  <c r="I31" i="6"/>
  <c r="I19" i="6"/>
  <c r="J23" i="6"/>
  <c r="J14" i="6"/>
  <c r="K4" i="6"/>
  <c r="J39" i="6"/>
  <c r="K5" i="6"/>
  <c r="I47" i="6"/>
  <c r="J51" i="6"/>
  <c r="I25" i="6"/>
  <c r="I34" i="6"/>
  <c r="K9" i="6"/>
  <c r="K39" i="6"/>
  <c r="I49" i="6"/>
  <c r="K27" i="6"/>
  <c r="I43" i="6"/>
  <c r="K13" i="6"/>
  <c r="J43" i="6"/>
  <c r="J47" i="6"/>
  <c r="K8" i="6"/>
  <c r="I11" i="6"/>
  <c r="K49" i="6"/>
  <c r="K15" i="6"/>
  <c r="K44" i="6"/>
  <c r="K12" i="6"/>
  <c r="K23" i="6"/>
  <c r="I27" i="6"/>
  <c r="J60" i="6"/>
  <c r="J26" i="6"/>
  <c r="I55" i="6"/>
  <c r="I45" i="6"/>
  <c r="I57" i="6"/>
  <c r="J49" i="6"/>
  <c r="K18" i="6"/>
  <c r="I52" i="6"/>
  <c r="I20" i="6"/>
  <c r="K30" i="6"/>
  <c r="I40" i="6"/>
  <c r="I44" i="6"/>
  <c r="I56" i="6"/>
  <c r="I17" i="6"/>
  <c r="J4" i="6"/>
  <c r="I46" i="6"/>
  <c r="I9" i="6"/>
  <c r="J22" i="6"/>
  <c r="J7" i="6"/>
  <c r="J38" i="6"/>
  <c r="K57" i="6"/>
  <c r="J3" i="6"/>
  <c r="J18" i="6"/>
  <c r="J48" i="6"/>
  <c r="K7" i="6"/>
  <c r="K32" i="6"/>
  <c r="I23" i="6"/>
  <c r="J58" i="6"/>
  <c r="K47" i="6"/>
  <c r="I26" i="6"/>
  <c r="I5" i="6"/>
  <c r="I39" i="6"/>
  <c r="I37" i="6"/>
  <c r="J55" i="6"/>
  <c r="K51" i="6"/>
  <c r="K31" i="6"/>
  <c r="J35" i="6"/>
  <c r="I42" i="6"/>
  <c r="I48" i="6"/>
  <c r="J17" i="6"/>
  <c r="J37" i="6"/>
  <c r="K6" i="6"/>
  <c r="J29" i="6"/>
  <c r="J9" i="6"/>
  <c r="J13" i="6"/>
  <c r="K14" i="6"/>
  <c r="I61" i="6"/>
  <c r="K43" i="6"/>
  <c r="J52" i="6"/>
  <c r="K19" i="6"/>
  <c r="I57" i="5"/>
  <c r="J9" i="5"/>
  <c r="K50" i="5"/>
  <c r="J30" i="5"/>
  <c r="K19" i="5"/>
  <c r="K17" i="5"/>
  <c r="J47" i="5"/>
  <c r="J53" i="5"/>
  <c r="J21" i="5"/>
  <c r="I38" i="5"/>
  <c r="J42" i="5"/>
  <c r="I44" i="5"/>
  <c r="I60" i="5"/>
  <c r="J8" i="5"/>
  <c r="I28" i="4"/>
  <c r="L28" i="4" s="1"/>
  <c r="K37" i="4"/>
  <c r="I29" i="4"/>
  <c r="J26" i="4"/>
  <c r="I25" i="4"/>
  <c r="I19" i="4"/>
  <c r="J38" i="4"/>
  <c r="J16" i="4"/>
  <c r="J9" i="4"/>
  <c r="J13" i="4"/>
  <c r="I20" i="4"/>
  <c r="I14" i="4"/>
  <c r="L14" i="4" s="1"/>
  <c r="I6" i="4"/>
  <c r="I34" i="4"/>
  <c r="K20" i="4"/>
  <c r="J42" i="6"/>
  <c r="I3" i="6"/>
  <c r="I21" i="6"/>
  <c r="I41" i="6"/>
  <c r="K61" i="6"/>
  <c r="K29" i="6"/>
  <c r="J44" i="6"/>
  <c r="K11" i="6"/>
  <c r="I53" i="6"/>
  <c r="I58" i="6"/>
  <c r="I51" i="6"/>
  <c r="K21" i="6"/>
  <c r="K40" i="6"/>
  <c r="I10" i="6"/>
  <c r="J20" i="6"/>
  <c r="I30" i="6"/>
  <c r="K56" i="6"/>
  <c r="J50" i="6"/>
  <c r="J57" i="6"/>
  <c r="J41" i="6"/>
  <c r="K22" i="6"/>
  <c r="I32" i="6"/>
  <c r="J31" i="3"/>
  <c r="J4" i="3"/>
  <c r="I41" i="2"/>
  <c r="I15" i="2"/>
  <c r="I12" i="2"/>
  <c r="J22" i="2"/>
  <c r="J41" i="2"/>
  <c r="J14" i="2"/>
  <c r="I30" i="2"/>
  <c r="K13" i="3"/>
  <c r="K15" i="3"/>
  <c r="I32" i="3"/>
  <c r="I44" i="2"/>
  <c r="K26" i="2"/>
  <c r="I10" i="2"/>
  <c r="K32" i="3"/>
  <c r="K6" i="2"/>
  <c r="K33" i="2"/>
  <c r="J37" i="2"/>
  <c r="K12" i="2"/>
  <c r="K25" i="3"/>
  <c r="J32" i="3"/>
  <c r="K16" i="3"/>
  <c r="J12" i="3"/>
  <c r="I3" i="3"/>
  <c r="K40" i="3"/>
  <c r="J10" i="3"/>
  <c r="K35" i="3"/>
  <c r="K26" i="3"/>
  <c r="I22" i="5"/>
  <c r="I51" i="5"/>
  <c r="I31" i="5"/>
  <c r="I42" i="5"/>
  <c r="K9" i="5"/>
  <c r="K45" i="5"/>
  <c r="J24" i="5"/>
  <c r="K32" i="5"/>
  <c r="K24" i="5"/>
  <c r="K58" i="5"/>
  <c r="K26" i="5"/>
  <c r="J46" i="5"/>
  <c r="J14" i="5"/>
  <c r="J36" i="5"/>
  <c r="K52" i="5"/>
  <c r="I25" i="5"/>
  <c r="J44" i="5"/>
  <c r="I23" i="5"/>
  <c r="J35" i="5"/>
  <c r="J27" i="5"/>
  <c r="K55" i="5"/>
  <c r="K23" i="5"/>
  <c r="I45" i="5"/>
  <c r="I12" i="5"/>
  <c r="K25" i="5"/>
  <c r="K51" i="5"/>
  <c r="I17" i="5"/>
  <c r="K53" i="5"/>
  <c r="J32" i="5"/>
  <c r="J15" i="5"/>
  <c r="J59" i="5"/>
  <c r="I50" i="5"/>
  <c r="K30" i="5"/>
  <c r="J58" i="5"/>
  <c r="J26" i="5"/>
  <c r="J45" i="5"/>
  <c r="I3" i="5"/>
  <c r="I16" i="5"/>
  <c r="I15" i="5"/>
  <c r="J33" i="5"/>
  <c r="J6" i="5"/>
  <c r="K14" i="5"/>
  <c r="I28" i="5"/>
  <c r="J12" i="5"/>
  <c r="I6" i="5"/>
  <c r="I35" i="3"/>
  <c r="J25" i="3"/>
  <c r="J8" i="3"/>
  <c r="K4" i="3"/>
  <c r="I26" i="3"/>
  <c r="I23" i="3"/>
  <c r="I40" i="3"/>
  <c r="K31" i="3"/>
  <c r="K12" i="3"/>
  <c r="K22" i="3"/>
  <c r="J14" i="3"/>
  <c r="I14" i="3"/>
  <c r="J5" i="3"/>
  <c r="I18" i="3"/>
  <c r="K23" i="3"/>
  <c r="I22" i="3"/>
  <c r="J36" i="3"/>
  <c r="J15" i="3"/>
  <c r="K5" i="3"/>
  <c r="K37" i="3"/>
  <c r="K18" i="3"/>
  <c r="I6" i="3"/>
  <c r="K20" i="3"/>
  <c r="J18" i="3"/>
  <c r="J11" i="3"/>
  <c r="K41" i="5"/>
  <c r="I33" i="5"/>
  <c r="K29" i="5"/>
  <c r="J19" i="5"/>
  <c r="K59" i="5"/>
  <c r="J55" i="5"/>
  <c r="K34" i="5"/>
  <c r="J54" i="5"/>
  <c r="J22" i="5"/>
  <c r="J52" i="5"/>
  <c r="K60" i="5"/>
  <c r="I49" i="5"/>
  <c r="K49" i="5"/>
  <c r="J28" i="5"/>
  <c r="J23" i="5"/>
  <c r="K16" i="5"/>
  <c r="I58" i="5"/>
  <c r="K31" i="5"/>
  <c r="I53" i="5"/>
  <c r="I21" i="5"/>
  <c r="I47" i="5"/>
  <c r="L47" i="5" s="1"/>
  <c r="J31" i="5"/>
  <c r="I41" i="5"/>
  <c r="I59" i="5"/>
  <c r="K37" i="5"/>
  <c r="J16" i="5"/>
  <c r="K48" i="5"/>
  <c r="J39" i="5"/>
  <c r="K38" i="5"/>
  <c r="K7" i="5"/>
  <c r="J34" i="5"/>
  <c r="I32" i="5"/>
  <c r="J10" i="5"/>
  <c r="I40" i="5"/>
  <c r="K6" i="5"/>
  <c r="J57" i="5"/>
  <c r="K3" i="5"/>
  <c r="J37" i="5"/>
  <c r="I56" i="5"/>
  <c r="L56" i="5" s="1"/>
  <c r="J11" i="5"/>
  <c r="J4" i="5"/>
  <c r="K30" i="3"/>
  <c r="I38" i="3"/>
  <c r="K21" i="3"/>
  <c r="J6" i="3"/>
  <c r="I17" i="3"/>
  <c r="K29" i="3"/>
  <c r="J22" i="3"/>
  <c r="J38" i="3"/>
  <c r="J23" i="3"/>
  <c r="I28" i="3"/>
  <c r="K19" i="3"/>
  <c r="K24" i="3"/>
  <c r="K10" i="3"/>
  <c r="I30" i="3"/>
  <c r="K50" i="2"/>
  <c r="K38" i="2"/>
  <c r="I45" i="2"/>
  <c r="J13" i="2"/>
  <c r="J6" i="2"/>
  <c r="K17" i="2"/>
  <c r="I5" i="2"/>
  <c r="K39" i="2"/>
  <c r="J19" i="2"/>
  <c r="J23" i="2"/>
  <c r="J45" i="2"/>
  <c r="I46" i="2"/>
  <c r="J48" i="2"/>
  <c r="I49" i="2"/>
  <c r="K47" i="2"/>
  <c r="K32" i="2"/>
  <c r="J15" i="2"/>
  <c r="J7" i="2"/>
  <c r="J35" i="2"/>
  <c r="I18" i="2"/>
  <c r="I38" i="2"/>
  <c r="I6" i="2"/>
  <c r="J11" i="2"/>
  <c r="K9" i="2"/>
  <c r="K43" i="2"/>
  <c r="K30" i="2"/>
  <c r="K5" i="2"/>
  <c r="K10" i="2"/>
  <c r="J40" i="2"/>
  <c r="I33" i="2"/>
  <c r="K34" i="2"/>
  <c r="J26" i="2"/>
  <c r="I11" i="2"/>
  <c r="K11" i="2"/>
  <c r="K41" i="2"/>
  <c r="J34" i="2"/>
  <c r="I27" i="2"/>
  <c r="I23" i="2"/>
  <c r="I13" i="2"/>
  <c r="J8" i="2"/>
  <c r="I37" i="2"/>
  <c r="J50" i="2"/>
  <c r="J30" i="2"/>
  <c r="J47" i="2"/>
  <c r="I39" i="2"/>
  <c r="J5" i="2"/>
  <c r="K49" i="2"/>
  <c r="K44" i="2"/>
  <c r="I31" i="2"/>
  <c r="I42" i="2"/>
  <c r="J16" i="2"/>
  <c r="I14" i="2"/>
  <c r="I26" i="2"/>
  <c r="I34" i="2"/>
  <c r="K24" i="2"/>
  <c r="J4" i="2"/>
  <c r="J10" i="2"/>
  <c r="I40" i="2"/>
  <c r="I20" i="2"/>
  <c r="I16" i="2"/>
  <c r="K31" i="2"/>
  <c r="I21" i="2"/>
  <c r="K21" i="2"/>
  <c r="J28" i="2"/>
  <c r="K13" i="2"/>
  <c r="I43" i="2"/>
  <c r="I19" i="2"/>
  <c r="J38" i="2"/>
  <c r="J46" i="2"/>
  <c r="I4" i="2"/>
  <c r="J43" i="2"/>
  <c r="J31" i="2"/>
  <c r="K4" i="2"/>
  <c r="K28" i="2"/>
  <c r="I32" i="2"/>
  <c r="J17" i="2"/>
  <c r="K45" i="2"/>
  <c r="I7" i="2"/>
  <c r="K19" i="2"/>
  <c r="I47" i="2"/>
  <c r="K35" i="2"/>
  <c r="I28" i="2"/>
  <c r="J20" i="2"/>
  <c r="K48" i="2"/>
  <c r="I24" i="2"/>
  <c r="K25" i="2"/>
  <c r="J9" i="2"/>
  <c r="I29" i="2"/>
  <c r="I48" i="2"/>
  <c r="I3" i="2"/>
  <c r="I17" i="2"/>
  <c r="K7" i="2"/>
  <c r="I25" i="2"/>
  <c r="K8" i="2"/>
  <c r="K40" i="2"/>
  <c r="K29" i="2"/>
  <c r="K42" i="2"/>
  <c r="J44" i="2"/>
  <c r="J42" i="2"/>
  <c r="I8" i="2"/>
  <c r="K37" i="2"/>
  <c r="J12" i="2"/>
  <c r="J33" i="2"/>
  <c r="K15" i="2"/>
  <c r="K23" i="2"/>
  <c r="I22" i="2"/>
  <c r="J39" i="2"/>
  <c r="I9" i="2"/>
  <c r="J29" i="2"/>
  <c r="J24" i="2"/>
  <c r="I50" i="2"/>
  <c r="K14" i="2"/>
  <c r="K27" i="2"/>
  <c r="J21" i="2"/>
  <c r="K3" i="2"/>
  <c r="I36" i="2"/>
  <c r="J18" i="2"/>
  <c r="K18" i="2"/>
  <c r="I35" i="2"/>
  <c r="J36" i="2"/>
  <c r="J32" i="2"/>
  <c r="J27" i="2"/>
  <c r="K46" i="2"/>
  <c r="K36" i="2"/>
  <c r="K16" i="2"/>
  <c r="J28" i="3"/>
  <c r="K9" i="3"/>
  <c r="J20" i="3"/>
  <c r="I4" i="3"/>
  <c r="J19" i="3"/>
  <c r="J24" i="3"/>
  <c r="I20" i="3"/>
  <c r="K8" i="3"/>
  <c r="J39" i="3"/>
  <c r="K28" i="3"/>
  <c r="I27" i="3"/>
  <c r="J40" i="3"/>
  <c r="I36" i="3"/>
  <c r="K34" i="3"/>
  <c r="J13" i="3"/>
  <c r="J26" i="3"/>
  <c r="I5" i="3"/>
  <c r="J35" i="3"/>
  <c r="K38" i="3"/>
  <c r="J17" i="3"/>
  <c r="J30" i="3"/>
  <c r="I9" i="3"/>
  <c r="I10" i="3"/>
  <c r="J3" i="3"/>
  <c r="J21" i="3"/>
  <c r="J34" i="3"/>
  <c r="I13" i="3"/>
  <c r="L13" i="3" s="1"/>
  <c r="J7" i="3"/>
  <c r="I39" i="3"/>
  <c r="I15" i="3"/>
  <c r="K33" i="3"/>
  <c r="I7" i="3"/>
  <c r="I33" i="3"/>
  <c r="I37" i="3"/>
  <c r="I11" i="3"/>
  <c r="K27" i="3"/>
  <c r="K17" i="3"/>
  <c r="J9" i="3"/>
  <c r="I31" i="3"/>
  <c r="K39" i="3"/>
  <c r="J16" i="3"/>
  <c r="K14" i="3"/>
  <c r="J29" i="3"/>
  <c r="I8" i="3"/>
  <c r="I21" i="3"/>
  <c r="K36" i="3"/>
  <c r="J27" i="3"/>
  <c r="J33" i="3"/>
  <c r="I12" i="3"/>
  <c r="I25" i="3"/>
  <c r="K3" i="3"/>
  <c r="I34" i="3"/>
  <c r="J37" i="3"/>
  <c r="I16" i="3"/>
  <c r="I29" i="3"/>
  <c r="L29" i="3" s="1"/>
  <c r="K7" i="3"/>
  <c r="L25" i="3" l="1"/>
  <c r="L26" i="6"/>
  <c r="L22" i="2"/>
  <c r="L10" i="6"/>
  <c r="L53" i="6"/>
  <c r="L34" i="6"/>
  <c r="L34" i="4"/>
  <c r="L27" i="4"/>
  <c r="L4" i="3"/>
  <c r="L48" i="2"/>
  <c r="L26" i="2"/>
  <c r="L24" i="4"/>
  <c r="L32" i="6"/>
  <c r="L8" i="3"/>
  <c r="L25" i="2"/>
  <c r="L24" i="2"/>
  <c r="L39" i="2"/>
  <c r="L11" i="2"/>
  <c r="L38" i="2"/>
  <c r="L32" i="5"/>
  <c r="L59" i="5"/>
  <c r="L21" i="5"/>
  <c r="L49" i="5"/>
  <c r="L35" i="3"/>
  <c r="L23" i="5"/>
  <c r="L38" i="5"/>
  <c r="L39" i="6"/>
  <c r="L46" i="6"/>
  <c r="L44" i="6"/>
  <c r="L52" i="6"/>
  <c r="L45" i="6"/>
  <c r="L27" i="6"/>
  <c r="L12" i="6"/>
  <c r="L28" i="6"/>
  <c r="L16" i="6"/>
  <c r="L37" i="4"/>
  <c r="L26" i="5"/>
  <c r="L35" i="5"/>
  <c r="L29" i="5"/>
  <c r="L27" i="5"/>
  <c r="L48" i="5"/>
  <c r="L55" i="5"/>
  <c r="L14" i="6"/>
  <c r="L33" i="6"/>
  <c r="L32" i="4"/>
  <c r="L50" i="6"/>
  <c r="L12" i="4"/>
  <c r="L3" i="6"/>
  <c r="L13" i="5"/>
  <c r="L59" i="6"/>
  <c r="L34" i="3"/>
  <c r="L31" i="3"/>
  <c r="L20" i="3"/>
  <c r="L9" i="2"/>
  <c r="L8" i="2"/>
  <c r="L47" i="2"/>
  <c r="L30" i="3"/>
  <c r="L28" i="3"/>
  <c r="L41" i="5"/>
  <c r="L53" i="5"/>
  <c r="L22" i="5"/>
  <c r="L25" i="6"/>
  <c r="L19" i="6"/>
  <c r="L11" i="4"/>
  <c r="L17" i="4"/>
  <c r="L5" i="4"/>
  <c r="L37" i="2"/>
  <c r="L26" i="3"/>
  <c r="L51" i="5"/>
  <c r="L11" i="3"/>
  <c r="L29" i="2"/>
  <c r="L38" i="3"/>
  <c r="L22" i="3"/>
  <c r="L14" i="3"/>
  <c r="L6" i="5"/>
  <c r="L3" i="5"/>
  <c r="L30" i="6"/>
  <c r="L41" i="6"/>
  <c r="L20" i="4"/>
  <c r="L29" i="4"/>
  <c r="L60" i="5"/>
  <c r="L57" i="5"/>
  <c r="L61" i="6"/>
  <c r="L48" i="6"/>
  <c r="L5" i="6"/>
  <c r="L23" i="6"/>
  <c r="L40" i="6"/>
  <c r="L55" i="6"/>
  <c r="L49" i="6"/>
  <c r="L4" i="6"/>
  <c r="L39" i="4"/>
  <c r="L8" i="4"/>
  <c r="L10" i="4"/>
  <c r="L8" i="5"/>
  <c r="L30" i="5"/>
  <c r="L34" i="5"/>
  <c r="L39" i="5"/>
  <c r="L4" i="5"/>
  <c r="L37" i="5"/>
  <c r="L52" i="5"/>
  <c r="L10" i="5"/>
  <c r="L7" i="6"/>
  <c r="L26" i="4"/>
  <c r="L9" i="4"/>
  <c r="L4" i="4"/>
  <c r="L33" i="4"/>
  <c r="L18" i="6"/>
  <c r="L22" i="6"/>
  <c r="L31" i="2"/>
  <c r="L27" i="2"/>
  <c r="L16" i="5"/>
  <c r="L19" i="5"/>
  <c r="L60" i="6"/>
  <c r="L15" i="6"/>
  <c r="L27" i="3"/>
  <c r="L16" i="2"/>
  <c r="L46" i="2"/>
  <c r="L16" i="3"/>
  <c r="L37" i="3"/>
  <c r="L15" i="3"/>
  <c r="L9" i="3"/>
  <c r="L35" i="2"/>
  <c r="L50" i="2"/>
  <c r="L17" i="2"/>
  <c r="L32" i="2"/>
  <c r="L19" i="2"/>
  <c r="L20" i="2"/>
  <c r="L13" i="2"/>
  <c r="L5" i="2"/>
  <c r="L45" i="2"/>
  <c r="L17" i="3"/>
  <c r="L40" i="5"/>
  <c r="L33" i="5"/>
  <c r="L40" i="3"/>
  <c r="L50" i="5"/>
  <c r="L12" i="5"/>
  <c r="L25" i="5"/>
  <c r="L42" i="5"/>
  <c r="L3" i="3"/>
  <c r="L44" i="2"/>
  <c r="L30" i="2"/>
  <c r="L12" i="2"/>
  <c r="L51" i="6"/>
  <c r="L21" i="6"/>
  <c r="L19" i="4"/>
  <c r="L44" i="5"/>
  <c r="L42" i="6"/>
  <c r="L17" i="6"/>
  <c r="L11" i="6"/>
  <c r="L31" i="6"/>
  <c r="L16" i="4"/>
  <c r="L31" i="4"/>
  <c r="L21" i="4"/>
  <c r="L30" i="4"/>
  <c r="L9" i="5"/>
  <c r="L46" i="5"/>
  <c r="L43" i="5"/>
  <c r="L20" i="5"/>
  <c r="L18" i="5"/>
  <c r="L36" i="4"/>
  <c r="L13" i="6"/>
  <c r="L15" i="4"/>
  <c r="L36" i="5"/>
  <c r="L36" i="6"/>
  <c r="L18" i="4"/>
  <c r="L13" i="4"/>
  <c r="L24" i="3"/>
  <c r="L38" i="6"/>
  <c r="L7" i="4"/>
  <c r="L38" i="4"/>
  <c r="L7" i="3"/>
  <c r="L10" i="2"/>
  <c r="L41" i="2"/>
  <c r="L14" i="5"/>
  <c r="L11" i="5"/>
  <c r="L7" i="5"/>
  <c r="L8" i="6"/>
  <c r="L10" i="3"/>
  <c r="L36" i="2"/>
  <c r="L14" i="2"/>
  <c r="L18" i="2"/>
  <c r="L12" i="3"/>
  <c r="L21" i="3"/>
  <c r="L33" i="3"/>
  <c r="L39" i="3"/>
  <c r="L5" i="3"/>
  <c r="L36" i="3"/>
  <c r="L3" i="2"/>
  <c r="L28" i="2"/>
  <c r="L7" i="2"/>
  <c r="L4" i="2"/>
  <c r="L43" i="2"/>
  <c r="L21" i="2"/>
  <c r="L40" i="2"/>
  <c r="L34" i="2"/>
  <c r="L42" i="2"/>
  <c r="L23" i="2"/>
  <c r="L33" i="2"/>
  <c r="L6" i="2"/>
  <c r="L49" i="2"/>
  <c r="L58" i="5"/>
  <c r="L6" i="3"/>
  <c r="L18" i="3"/>
  <c r="L23" i="3"/>
  <c r="L28" i="5"/>
  <c r="L15" i="5"/>
  <c r="L17" i="5"/>
  <c r="L45" i="5"/>
  <c r="L31" i="5"/>
  <c r="L32" i="3"/>
  <c r="L15" i="2"/>
  <c r="L58" i="6"/>
  <c r="L6" i="4"/>
  <c r="L25" i="4"/>
  <c r="L37" i="6"/>
  <c r="L9" i="6"/>
  <c r="L56" i="6"/>
  <c r="L20" i="6"/>
  <c r="L57" i="6"/>
  <c r="L43" i="6"/>
  <c r="L47" i="6"/>
  <c r="L22" i="4"/>
  <c r="L24" i="5"/>
  <c r="L6" i="6"/>
  <c r="L29" i="6"/>
  <c r="L54" i="6"/>
  <c r="L35" i="4"/>
  <c r="L54" i="5"/>
  <c r="L35" i="6"/>
  <c r="L23" i="4"/>
  <c r="L24" i="6"/>
  <c r="L19" i="3"/>
  <c r="L5" i="5"/>
  <c r="L51" i="2" l="1"/>
  <c r="L41" i="3"/>
  <c r="L61" i="5"/>
  <c r="L62" i="6"/>
  <c r="L40" i="4"/>
</calcChain>
</file>

<file path=xl/sharedStrings.xml><?xml version="1.0" encoding="utf-8"?>
<sst xmlns="http://schemas.openxmlformats.org/spreadsheetml/2006/main" count="105" uniqueCount="46">
  <si>
    <t>A Block Total</t>
  </si>
  <si>
    <t>B Block Total</t>
  </si>
  <si>
    <t>C Block Total</t>
  </si>
  <si>
    <t>D Block Total</t>
  </si>
  <si>
    <t>E Block Total</t>
  </si>
  <si>
    <t>Common Usage Total</t>
  </si>
  <si>
    <t>Flat No</t>
  </si>
  <si>
    <t>Consumption</t>
  </si>
  <si>
    <t>Total</t>
  </si>
  <si>
    <t>Common Rooms</t>
  </si>
  <si>
    <t>A02 Office room</t>
  </si>
  <si>
    <t>A4 Common Bathroom</t>
  </si>
  <si>
    <t>D23 Party Hall etc.</t>
  </si>
  <si>
    <t>E26 Garderner use etc</t>
  </si>
  <si>
    <t>E27 Swimming Pool etc</t>
  </si>
  <si>
    <t>E32 Basement etc</t>
  </si>
  <si>
    <t>12000 ltrs per Tanker</t>
  </si>
  <si>
    <t>Ablock New Borewell</t>
  </si>
  <si>
    <t>D block Borewell</t>
  </si>
  <si>
    <t>C block Borewell</t>
  </si>
  <si>
    <t>A block Borewell</t>
  </si>
  <si>
    <t>WATER INPUT</t>
  </si>
  <si>
    <t>WATER USAGE</t>
  </si>
  <si>
    <t>TOTAL in Ltr</t>
  </si>
  <si>
    <t>Items</t>
  </si>
  <si>
    <t>Cost</t>
  </si>
  <si>
    <t>Column1</t>
  </si>
  <si>
    <t>Salt</t>
  </si>
  <si>
    <t xml:space="preserve">total cost </t>
  </si>
  <si>
    <t>Total cost per lt(consumption)</t>
  </si>
  <si>
    <t>E Bill 1</t>
  </si>
  <si>
    <t xml:space="preserve">Slab1: upto 15000 lts , Slab2 &gt;15000 lts,  Slab3 &gt;20000 lts </t>
  </si>
  <si>
    <t xml:space="preserve">actual cost </t>
  </si>
  <si>
    <t xml:space="preserve">1.5 * actual cost </t>
  </si>
  <si>
    <t xml:space="preserve">2 * actual cost </t>
  </si>
  <si>
    <t>Slab1 (QTY)</t>
  </si>
  <si>
    <t>Slab2 (QTY)</t>
  </si>
  <si>
    <t>Slab3 (QTY)</t>
  </si>
  <si>
    <t>Cost of Slab1 (RS)</t>
  </si>
  <si>
    <t>Cost of Slab2 (Rs)</t>
  </si>
  <si>
    <t>Cost of Slab3 (Rs)</t>
  </si>
  <si>
    <t>Total costing (Rs)</t>
  </si>
  <si>
    <t>Kaveri Tanker</t>
  </si>
  <si>
    <t>Kaveri tankers bill</t>
  </si>
  <si>
    <t>Water tankers bill</t>
  </si>
  <si>
    <t>15.11.2025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</si>
</sst>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3" formatCode="_ * #,##0.00_ ;_ * \-#,##0.00_ ;_ * &quot;-&quot;??_ ;_ @_ "/>
    <numFmt numFmtId="164" formatCode="dd/mm/yy"/>
    <numFmt numFmtId="165" formatCode="0.0000"/>
    <numFmt numFmtId="166" formatCode="0.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Arial"/>
      <family val="2"/>
    </font>
    <font>
      <b/>
      <sz val="10"/>
      <name val="Arial"/>
      <family val="2"/>
      <charset val="1"/>
    </font>
    <font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8"/>
      <color rgb="FFFFFFFF"/>
      <name val="Arial"/>
      <family val="2"/>
    </font>
    <font>
      <b/>
      <sz val="8"/>
      <name val="Arial"/>
      <family val="2"/>
    </font>
    <font>
      <b/>
      <sz val="8"/>
      <color rgb="FFFA7D0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9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/>
        <bgColor rgb="FF333333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4">
    <xf numFmtId="0" fontId="0" fillId="0" borderId="0"/>
    <xf numFmtId="0" fontId="7" fillId="6" borderId="2" applyNumberFormat="0" applyAlignment="0" applyProtection="0"/>
    <xf numFmtId="0" fontId="8" fillId="7" borderId="2" applyNumberFormat="0" applyAlignment="0" applyProtection="0"/>
    <xf numFmtId="43" fontId="6" fillId="0" borderId="0" applyFont="0" applyFill="0" applyBorder="0" applyAlignment="0" applyProtection="0"/>
  </cellStyleXfs>
  <cellXfs count="55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1" xfId="0" applyBorder="1" applyAlignment="1">
      <alignment wrapText="1"/>
    </xf>
    <xf numFmtId="0" fontId="2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164" fontId="0" fillId="2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0" fillId="4" borderId="1" xfId="0" applyFill="1" applyBorder="1"/>
    <xf numFmtId="0" fontId="3" fillId="2" borderId="1" xfId="0" applyFont="1" applyFill="1" applyBorder="1" applyAlignment="1"/>
    <xf numFmtId="0" fontId="0" fillId="0" borderId="1" xfId="0" applyFont="1" applyBorder="1" applyAlignment="1"/>
    <xf numFmtId="0" fontId="0" fillId="3" borderId="1" xfId="0" applyFont="1" applyFill="1" applyBorder="1" applyAlignment="1"/>
    <xf numFmtId="14" fontId="0" fillId="2" borderId="1" xfId="0" applyNumberFormat="1" applyFill="1" applyBorder="1"/>
    <xf numFmtId="0" fontId="4" fillId="0" borderId="1" xfId="0" applyFont="1" applyBorder="1"/>
    <xf numFmtId="0" fontId="5" fillId="4" borderId="1" xfId="0" applyFont="1" applyFill="1" applyBorder="1" applyAlignment="1">
      <alignment horizontal="center"/>
    </xf>
    <xf numFmtId="0" fontId="0" fillId="0" borderId="1" xfId="0" applyFont="1" applyBorder="1" applyAlignment="1">
      <alignment horizontal="right"/>
    </xf>
    <xf numFmtId="0" fontId="0" fillId="0" borderId="1" xfId="0" applyBorder="1" applyAlignment="1">
      <alignment horizontal="right"/>
    </xf>
    <xf numFmtId="0" fontId="0" fillId="0" borderId="0" xfId="0" applyAlignment="1">
      <alignment horizontal="right"/>
    </xf>
    <xf numFmtId="0" fontId="2" fillId="5" borderId="1" xfId="0" applyFont="1" applyFill="1" applyBorder="1" applyAlignment="1">
      <alignment horizontal="center"/>
    </xf>
    <xf numFmtId="0" fontId="0" fillId="5" borderId="1" xfId="0" applyFill="1" applyBorder="1" applyAlignment="1">
      <alignment horizontal="right"/>
    </xf>
    <xf numFmtId="0" fontId="2" fillId="5" borderId="1" xfId="0" applyFont="1" applyFill="1" applyBorder="1" applyAlignment="1">
      <alignment horizontal="right"/>
    </xf>
    <xf numFmtId="0" fontId="1" fillId="5" borderId="1" xfId="0" applyFont="1" applyFill="1" applyBorder="1" applyAlignment="1">
      <alignment horizontal="right"/>
    </xf>
    <xf numFmtId="164" fontId="0" fillId="2" borderId="1" xfId="0" applyNumberFormat="1" applyFill="1" applyBorder="1" applyAlignment="1">
      <alignment horizontal="right"/>
    </xf>
    <xf numFmtId="0" fontId="2" fillId="0" borderId="1" xfId="0" applyFont="1" applyBorder="1" applyAlignment="1">
      <alignment horizontal="right"/>
    </xf>
    <xf numFmtId="14" fontId="0" fillId="0" borderId="1" xfId="0" applyNumberFormat="1" applyBorder="1" applyAlignment="1">
      <alignment horizontal="right"/>
    </xf>
    <xf numFmtId="4" fontId="0" fillId="0" borderId="1" xfId="0" applyNumberFormat="1" applyBorder="1" applyAlignment="1">
      <alignment horizontal="right"/>
    </xf>
    <xf numFmtId="0" fontId="0" fillId="3" borderId="1" xfId="0" applyFill="1" applyBorder="1"/>
    <xf numFmtId="0" fontId="0" fillId="4" borderId="1" xfId="0" applyFont="1" applyFill="1" applyBorder="1" applyAlignment="1"/>
    <xf numFmtId="0" fontId="4" fillId="3" borderId="1" xfId="0" applyFont="1" applyFill="1" applyBorder="1" applyAlignment="1">
      <alignment horizontal="center"/>
    </xf>
    <xf numFmtId="0" fontId="2" fillId="8" borderId="1" xfId="0" applyFont="1" applyFill="1" applyBorder="1"/>
    <xf numFmtId="1" fontId="0" fillId="0" borderId="1" xfId="0" applyNumberFormat="1" applyBorder="1"/>
    <xf numFmtId="0" fontId="7" fillId="6" borderId="1" xfId="1" applyBorder="1"/>
    <xf numFmtId="0" fontId="7" fillId="4" borderId="1" xfId="1" applyFill="1" applyBorder="1"/>
    <xf numFmtId="0" fontId="1" fillId="0" borderId="1" xfId="0" applyFont="1" applyBorder="1"/>
    <xf numFmtId="165" fontId="1" fillId="0" borderId="1" xfId="0" applyNumberFormat="1" applyFont="1" applyBorder="1"/>
    <xf numFmtId="164" fontId="9" fillId="9" borderId="1" xfId="0" applyNumberFormat="1" applyFont="1" applyFill="1" applyBorder="1" applyAlignment="1">
      <alignment horizontal="center"/>
    </xf>
    <xf numFmtId="0" fontId="10" fillId="0" borderId="1" xfId="0" applyFont="1" applyBorder="1" applyAlignment="1">
      <alignment horizontal="center"/>
    </xf>
    <xf numFmtId="165" fontId="10" fillId="0" borderId="1" xfId="0" applyNumberFormat="1" applyFont="1" applyBorder="1" applyAlignment="1">
      <alignment horizontal="center"/>
    </xf>
    <xf numFmtId="164" fontId="11" fillId="7" borderId="1" xfId="2" applyNumberFormat="1" applyFont="1" applyBorder="1" applyAlignment="1">
      <alignment horizontal="center"/>
    </xf>
    <xf numFmtId="1" fontId="8" fillId="7" borderId="1" xfId="2" applyNumberFormat="1" applyBorder="1"/>
    <xf numFmtId="43" fontId="2" fillId="0" borderId="1" xfId="3" applyFont="1" applyBorder="1" applyAlignment="1">
      <alignment horizontal="center"/>
    </xf>
    <xf numFmtId="1" fontId="0" fillId="0" borderId="0" xfId="0" applyNumberFormat="1"/>
    <xf numFmtId="1" fontId="1" fillId="0" borderId="1" xfId="0" applyNumberFormat="1" applyFont="1" applyBorder="1"/>
    <xf numFmtId="43" fontId="0" fillId="0" borderId="0" xfId="0" applyNumberFormat="1"/>
    <xf numFmtId="0" fontId="0" fillId="0" borderId="1" xfId="0" applyFont="1" applyBorder="1"/>
    <xf numFmtId="0" fontId="4" fillId="0" borderId="1" xfId="0" applyFont="1" applyBorder="1" applyAlignment="1">
      <alignment horizontal="center"/>
    </xf>
    <xf numFmtId="166" fontId="0" fillId="4" borderId="1" xfId="0" applyNumberForma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164" fontId="9" fillId="9" borderId="1" xfId="0" applyNumberFormat="1" applyFont="1" applyFill="1" applyBorder="1" applyAlignment="1">
      <alignment horizontal="center"/>
    </xf>
  </cellXfs>
  <cellStyles count="4">
    <cellStyle name="Calculation" xfId="2" builtinId="22"/>
    <cellStyle name="Comma 2" xfId="3"/>
    <cellStyle name="Input" xfId="1" builtinId="20"/>
    <cellStyle name="Normal" xfId="0" builtinId="0"/>
  </cellStyles>
  <dxfs count="10"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font>
        <b/>
      </font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ables/table1.xml><?xml version="1.0" encoding="utf-8"?>
<table xmlns="http://schemas.openxmlformats.org/spreadsheetml/2006/main" id="1" name="Table1" displayName="Table1" ref="A19:C25" totalsRowShown="0" headerRowDxfId="9" headerRowBorderDxfId="8" tableBorderDxfId="7" totalsRowBorderDxfId="6">
  <tableColumns count="3">
    <tableColumn id="1" name="Items" dataDxfId="5" totalsRowDxfId="4"/>
    <tableColumn id="2" name="Cost" dataDxfId="3" totalsRowDxfId="2"/>
    <tableColumn id="3" name="Column1" dataDxfId="1" totalsRow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5"/>
  <sheetViews>
    <sheetView tabSelected="1" workbookViewId="0">
      <selection activeCell="A10" sqref="A10:D10"/>
    </sheetView>
  </sheetViews>
  <sheetFormatPr defaultRowHeight="15" x14ac:dyDescent="0.25"/>
  <cols>
    <col min="1" max="1" width="41" bestFit="1" customWidth="1"/>
    <col min="2" max="4" width="12.7109375" style="23" customWidth="1"/>
    <col min="5" max="5" width="34.5703125" bestFit="1" customWidth="1"/>
  </cols>
  <sheetData>
    <row r="1" spans="1:5" x14ac:dyDescent="0.25">
      <c r="A1" s="53" t="s">
        <v>21</v>
      </c>
      <c r="B1" s="53"/>
      <c r="C1" s="53"/>
      <c r="D1" s="53"/>
    </row>
    <row r="2" spans="1:5" x14ac:dyDescent="0.25">
      <c r="A2" s="1"/>
      <c r="B2" s="30">
        <v>45961</v>
      </c>
      <c r="C2" s="30">
        <v>45991</v>
      </c>
      <c r="D2" s="31"/>
    </row>
    <row r="3" spans="1:5" x14ac:dyDescent="0.25">
      <c r="A3" s="1" t="s">
        <v>17</v>
      </c>
      <c r="B3" s="22">
        <v>27765</v>
      </c>
      <c r="C3" s="22">
        <v>27765</v>
      </c>
      <c r="D3" s="21">
        <f>(C3-B3)*1000</f>
        <v>0</v>
      </c>
    </row>
    <row r="4" spans="1:5" x14ac:dyDescent="0.25">
      <c r="A4" s="1" t="s">
        <v>20</v>
      </c>
      <c r="B4" s="22">
        <v>56784</v>
      </c>
      <c r="C4" s="22">
        <v>57111</v>
      </c>
      <c r="D4" s="21">
        <f>(C4-B4)*1000</f>
        <v>327000</v>
      </c>
    </row>
    <row r="5" spans="1:5" x14ac:dyDescent="0.25">
      <c r="A5" s="1" t="s">
        <v>19</v>
      </c>
      <c r="B5" s="21">
        <v>0</v>
      </c>
      <c r="C5" s="21">
        <v>0</v>
      </c>
      <c r="D5" s="21">
        <f t="shared" ref="D5:D6" si="0">(C5-B5)*1000</f>
        <v>0</v>
      </c>
    </row>
    <row r="6" spans="1:5" x14ac:dyDescent="0.25">
      <c r="A6" s="1" t="s">
        <v>18</v>
      </c>
      <c r="B6" s="21">
        <v>0</v>
      </c>
      <c r="C6" s="21">
        <v>0</v>
      </c>
      <c r="D6" s="21">
        <f t="shared" si="0"/>
        <v>0</v>
      </c>
    </row>
    <row r="7" spans="1:5" x14ac:dyDescent="0.25">
      <c r="A7" s="3" t="s">
        <v>16</v>
      </c>
      <c r="B7" s="22">
        <v>12000</v>
      </c>
      <c r="C7" s="22">
        <v>152</v>
      </c>
      <c r="D7" s="21">
        <f>B7*C7</f>
        <v>1824000</v>
      </c>
    </row>
    <row r="8" spans="1:5" x14ac:dyDescent="0.25">
      <c r="A8" s="3" t="s">
        <v>42</v>
      </c>
      <c r="B8" s="22">
        <v>12000</v>
      </c>
      <c r="C8" s="22">
        <v>43</v>
      </c>
      <c r="D8" s="21">
        <f>B8*C8</f>
        <v>516000</v>
      </c>
    </row>
    <row r="9" spans="1:5" x14ac:dyDescent="0.25">
      <c r="A9" s="24" t="s">
        <v>23</v>
      </c>
      <c r="B9" s="25"/>
      <c r="C9" s="25"/>
      <c r="D9" s="26">
        <f>SUM(D3:D8)</f>
        <v>2667000</v>
      </c>
    </row>
    <row r="10" spans="1:5" x14ac:dyDescent="0.25">
      <c r="A10" s="53" t="s">
        <v>22</v>
      </c>
      <c r="B10" s="53"/>
      <c r="C10" s="53"/>
      <c r="D10" s="53"/>
    </row>
    <row r="11" spans="1:5" x14ac:dyDescent="0.25">
      <c r="A11" s="2" t="s">
        <v>0</v>
      </c>
      <c r="B11" s="22"/>
      <c r="C11" s="22"/>
      <c r="D11" s="22">
        <f>'A block'!E51</f>
        <v>392366</v>
      </c>
      <c r="E11" s="47"/>
    </row>
    <row r="12" spans="1:5" x14ac:dyDescent="0.25">
      <c r="A12" s="2" t="s">
        <v>1</v>
      </c>
      <c r="B12" s="22"/>
      <c r="C12" s="22"/>
      <c r="D12" s="22">
        <f>'B block '!E41</f>
        <v>357460</v>
      </c>
    </row>
    <row r="13" spans="1:5" x14ac:dyDescent="0.25">
      <c r="A13" s="2" t="s">
        <v>2</v>
      </c>
      <c r="B13" s="22"/>
      <c r="C13" s="22"/>
      <c r="D13" s="22">
        <f>'C block'!E40</f>
        <v>342899</v>
      </c>
    </row>
    <row r="14" spans="1:5" x14ac:dyDescent="0.25">
      <c r="A14" s="2" t="s">
        <v>3</v>
      </c>
      <c r="B14" s="22"/>
      <c r="C14" s="22"/>
      <c r="D14" s="22">
        <f>'D block'!E61</f>
        <v>494126</v>
      </c>
    </row>
    <row r="15" spans="1:5" x14ac:dyDescent="0.25">
      <c r="A15" s="2" t="s">
        <v>4</v>
      </c>
      <c r="B15" s="22"/>
      <c r="C15" s="22"/>
      <c r="D15" s="22">
        <f>'E block'!E62</f>
        <v>466930</v>
      </c>
      <c r="E15" s="49"/>
    </row>
    <row r="16" spans="1:5" x14ac:dyDescent="0.25">
      <c r="A16" s="2" t="s">
        <v>5</v>
      </c>
      <c r="B16" s="22"/>
      <c r="C16" s="22"/>
      <c r="D16" s="22">
        <f>consumption!D8</f>
        <v>192723</v>
      </c>
      <c r="E16" s="47"/>
    </row>
    <row r="17" spans="1:6" x14ac:dyDescent="0.25">
      <c r="A17" s="24" t="s">
        <v>23</v>
      </c>
      <c r="B17" s="25"/>
      <c r="C17" s="27"/>
      <c r="D17" s="26">
        <f>SUM(D11:D16)</f>
        <v>2246504</v>
      </c>
      <c r="E17" s="47"/>
      <c r="F17" s="47"/>
    </row>
    <row r="19" spans="1:6" x14ac:dyDescent="0.25">
      <c r="A19" s="35" t="s">
        <v>24</v>
      </c>
      <c r="B19" s="35" t="s">
        <v>25</v>
      </c>
      <c r="C19" s="22" t="s">
        <v>26</v>
      </c>
    </row>
    <row r="20" spans="1:6" x14ac:dyDescent="0.25">
      <c r="A20" s="1" t="s">
        <v>27</v>
      </c>
      <c r="B20" s="1">
        <v>0</v>
      </c>
      <c r="C20" s="22"/>
    </row>
    <row r="21" spans="1:6" x14ac:dyDescent="0.25">
      <c r="A21" s="1" t="s">
        <v>30</v>
      </c>
      <c r="B21" s="1">
        <v>69473</v>
      </c>
      <c r="C21" s="22"/>
      <c r="E21" s="49"/>
    </row>
    <row r="22" spans="1:6" x14ac:dyDescent="0.25">
      <c r="A22" s="1" t="s">
        <v>44</v>
      </c>
      <c r="B22" s="1">
        <f>C7*2000</f>
        <v>304000</v>
      </c>
      <c r="C22" s="22"/>
    </row>
    <row r="23" spans="1:6" x14ac:dyDescent="0.25">
      <c r="A23" s="1" t="s">
        <v>43</v>
      </c>
      <c r="B23" s="1">
        <f>C8*1372.33</f>
        <v>59010.189999999995</v>
      </c>
      <c r="C23" s="22"/>
    </row>
    <row r="24" spans="1:6" x14ac:dyDescent="0.25">
      <c r="A24" s="37" t="s">
        <v>28</v>
      </c>
      <c r="B24" s="38">
        <f>SUBTOTAL(109,B20:B23)</f>
        <v>432483.19</v>
      </c>
      <c r="C24" s="22"/>
    </row>
    <row r="25" spans="1:6" x14ac:dyDescent="0.25">
      <c r="A25" s="39" t="s">
        <v>29</v>
      </c>
      <c r="B25" s="40">
        <f>B24/D9</f>
        <v>0.16216092613423322</v>
      </c>
      <c r="C25" s="22"/>
    </row>
  </sheetData>
  <mergeCells count="2">
    <mergeCell ref="A1:D1"/>
    <mergeCell ref="A10:D10"/>
  </mergeCells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"/>
  <sheetViews>
    <sheetView workbookViewId="0">
      <selection activeCell="D4" sqref="D4"/>
    </sheetView>
  </sheetViews>
  <sheetFormatPr defaultRowHeight="15" x14ac:dyDescent="0.25"/>
  <cols>
    <col min="1" max="1" width="21.7109375" bestFit="1" customWidth="1"/>
    <col min="2" max="4" width="12.7109375" style="23" customWidth="1"/>
  </cols>
  <sheetData>
    <row r="1" spans="1:4" x14ac:dyDescent="0.25">
      <c r="A1" s="15" t="s">
        <v>9</v>
      </c>
      <c r="B1" s="28">
        <f>summary!B2</f>
        <v>45961</v>
      </c>
      <c r="C1" s="28">
        <f>summary!C2</f>
        <v>45991</v>
      </c>
      <c r="D1" s="28" t="s">
        <v>7</v>
      </c>
    </row>
    <row r="2" spans="1:4" x14ac:dyDescent="0.25">
      <c r="A2" s="16" t="s">
        <v>10</v>
      </c>
      <c r="B2" s="22">
        <v>45.24</v>
      </c>
      <c r="C2" s="22">
        <v>47.856999999999999</v>
      </c>
      <c r="D2" s="1">
        <f>(C2-B2)*1000</f>
        <v>2616.9999999999973</v>
      </c>
    </row>
    <row r="3" spans="1:4" x14ac:dyDescent="0.25">
      <c r="A3" s="16" t="s">
        <v>11</v>
      </c>
      <c r="B3" s="22">
        <v>940</v>
      </c>
      <c r="C3" s="22">
        <v>953</v>
      </c>
      <c r="D3" s="1">
        <f t="shared" ref="D3:D7" si="0">(C3-B3)*1000</f>
        <v>13000</v>
      </c>
    </row>
    <row r="4" spans="1:4" x14ac:dyDescent="0.25">
      <c r="A4" s="17" t="s">
        <v>12</v>
      </c>
      <c r="B4" s="22">
        <v>353.67</v>
      </c>
      <c r="C4" s="22">
        <v>459.87900000000002</v>
      </c>
      <c r="D4" s="1">
        <f t="shared" si="0"/>
        <v>106209</v>
      </c>
    </row>
    <row r="5" spans="1:4" x14ac:dyDescent="0.25">
      <c r="A5" s="33" t="s">
        <v>13</v>
      </c>
      <c r="B5" s="22">
        <v>215.37</v>
      </c>
      <c r="C5" s="22">
        <v>266.38</v>
      </c>
      <c r="D5" s="1">
        <f t="shared" si="0"/>
        <v>51009.999999999993</v>
      </c>
    </row>
    <row r="6" spans="1:4" x14ac:dyDescent="0.25">
      <c r="A6" s="33" t="s">
        <v>14</v>
      </c>
      <c r="B6" s="22">
        <v>25.071999999999999</v>
      </c>
      <c r="C6" s="22">
        <v>27.204000000000001</v>
      </c>
      <c r="D6" s="1">
        <f t="shared" si="0"/>
        <v>2132.0000000000014</v>
      </c>
    </row>
    <row r="7" spans="1:4" x14ac:dyDescent="0.25">
      <c r="A7" s="33" t="s">
        <v>15</v>
      </c>
      <c r="B7" s="22">
        <v>289.41300000000001</v>
      </c>
      <c r="C7" s="22">
        <v>307.16800000000001</v>
      </c>
      <c r="D7" s="1">
        <f t="shared" si="0"/>
        <v>17754.999999999996</v>
      </c>
    </row>
    <row r="8" spans="1:4" x14ac:dyDescent="0.25">
      <c r="A8" s="17" t="s">
        <v>8</v>
      </c>
      <c r="B8" s="22"/>
      <c r="C8" s="22"/>
      <c r="D8" s="29">
        <f>SUM(D2:D7)</f>
        <v>192723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1"/>
  <sheetViews>
    <sheetView workbookViewId="0"/>
  </sheetViews>
  <sheetFormatPr defaultRowHeight="15" x14ac:dyDescent="0.25"/>
  <cols>
    <col min="1" max="1" width="7.28515625" bestFit="1" customWidth="1"/>
    <col min="2" max="2" width="10.42578125" bestFit="1" customWidth="1"/>
    <col min="3" max="3" width="10.85546875" hidden="1" customWidth="1"/>
    <col min="4" max="4" width="10.42578125" bestFit="1" customWidth="1"/>
    <col min="5" max="5" width="12.85546875" bestFit="1" customWidth="1"/>
    <col min="6" max="8" width="9.85546875" bestFit="1" customWidth="1"/>
    <col min="9" max="11" width="15" bestFit="1" customWidth="1"/>
    <col min="12" max="12" width="11.85546875" bestFit="1" customWidth="1"/>
  </cols>
  <sheetData>
    <row r="1" spans="1:12" x14ac:dyDescent="0.25">
      <c r="F1" s="54" t="s">
        <v>31</v>
      </c>
      <c r="G1" s="54"/>
      <c r="H1" s="41"/>
      <c r="I1" s="42" t="s">
        <v>32</v>
      </c>
      <c r="J1" s="42" t="s">
        <v>33</v>
      </c>
      <c r="K1" s="42" t="s">
        <v>34</v>
      </c>
      <c r="L1" s="43">
        <f>summary!B25</f>
        <v>0.16216092613423322</v>
      </c>
    </row>
    <row r="2" spans="1:12" x14ac:dyDescent="0.25">
      <c r="A2" s="6" t="s">
        <v>6</v>
      </c>
      <c r="B2" s="18">
        <f>summary!B2</f>
        <v>45961</v>
      </c>
      <c r="C2" s="6" t="s">
        <v>45</v>
      </c>
      <c r="D2" s="18">
        <f>summary!C2</f>
        <v>45991</v>
      </c>
      <c r="E2" s="6" t="s">
        <v>7</v>
      </c>
      <c r="F2" s="41" t="s">
        <v>35</v>
      </c>
      <c r="G2" s="41" t="s">
        <v>36</v>
      </c>
      <c r="H2" s="41" t="s">
        <v>37</v>
      </c>
      <c r="I2" s="41" t="s">
        <v>38</v>
      </c>
      <c r="J2" s="41" t="s">
        <v>39</v>
      </c>
      <c r="K2" s="41" t="s">
        <v>40</v>
      </c>
      <c r="L2" s="44" t="s">
        <v>41</v>
      </c>
    </row>
    <row r="3" spans="1:12" x14ac:dyDescent="0.25">
      <c r="A3" s="2">
        <v>1101</v>
      </c>
      <c r="B3" s="1">
        <v>429</v>
      </c>
      <c r="C3" s="1">
        <v>432</v>
      </c>
      <c r="D3" s="1">
        <v>436</v>
      </c>
      <c r="E3" s="39">
        <f>SUM(D3-B3)*1000</f>
        <v>7000</v>
      </c>
      <c r="F3" s="1">
        <f>IF(E3 &gt; 15000, 15000, E3)</f>
        <v>7000</v>
      </c>
      <c r="G3" s="1">
        <f t="shared" ref="G3:G18" si="0">IF(E3 &gt; 20000, 5000, IF(E3 &gt; 15000, (E3-15000), 0))</f>
        <v>0</v>
      </c>
      <c r="H3" s="1">
        <f t="shared" ref="H3:H18" si="1">IF(E3&gt;20000,E3-20000,0)</f>
        <v>0</v>
      </c>
      <c r="I3" s="36">
        <f>F3*$L$1</f>
        <v>1135.1264829396325</v>
      </c>
      <c r="J3" s="36">
        <f>G3*($L$1 *1.5)</f>
        <v>0</v>
      </c>
      <c r="K3" s="36">
        <f>H3*($L$1 *2)</f>
        <v>0</v>
      </c>
      <c r="L3" s="45">
        <f>SUM(I3:K3)</f>
        <v>1135.1264829396325</v>
      </c>
    </row>
    <row r="4" spans="1:12" x14ac:dyDescent="0.25">
      <c r="A4" s="2">
        <v>2201</v>
      </c>
      <c r="B4" s="1">
        <v>908</v>
      </c>
      <c r="C4" s="1">
        <v>908</v>
      </c>
      <c r="D4" s="1">
        <v>908</v>
      </c>
      <c r="E4" s="1">
        <f t="shared" ref="E4:E50" si="2">SUM(D4-B4)*1000</f>
        <v>0</v>
      </c>
      <c r="F4" s="1">
        <f t="shared" ref="F4:F50" si="3">IF(E4 &gt; 15000, 15000, E4)</f>
        <v>0</v>
      </c>
      <c r="G4" s="1">
        <f t="shared" si="0"/>
        <v>0</v>
      </c>
      <c r="H4" s="1">
        <f t="shared" si="1"/>
        <v>0</v>
      </c>
      <c r="I4" s="36">
        <f t="shared" ref="I4:I50" si="4">F4*$L$1</f>
        <v>0</v>
      </c>
      <c r="J4" s="36">
        <f t="shared" ref="J4:J50" si="5">G4*($L$1 *1.5)</f>
        <v>0</v>
      </c>
      <c r="K4" s="36">
        <f t="shared" ref="K4:K50" si="6">H4*($L$1 *2)</f>
        <v>0</v>
      </c>
      <c r="L4" s="45">
        <f t="shared" ref="L4:L50" si="7">SUM(I4:K4)</f>
        <v>0</v>
      </c>
    </row>
    <row r="5" spans="1:12" x14ac:dyDescent="0.25">
      <c r="A5" s="2">
        <v>3301</v>
      </c>
      <c r="B5" s="1">
        <v>235</v>
      </c>
      <c r="C5" s="1">
        <v>238</v>
      </c>
      <c r="D5" s="1">
        <v>241</v>
      </c>
      <c r="E5" s="1">
        <f t="shared" si="2"/>
        <v>6000</v>
      </c>
      <c r="F5" s="1">
        <f t="shared" si="3"/>
        <v>6000</v>
      </c>
      <c r="G5" s="1">
        <f t="shared" si="0"/>
        <v>0</v>
      </c>
      <c r="H5" s="1">
        <f t="shared" si="1"/>
        <v>0</v>
      </c>
      <c r="I5" s="36">
        <f t="shared" si="4"/>
        <v>972.96555680539927</v>
      </c>
      <c r="J5" s="36">
        <f t="shared" si="5"/>
        <v>0</v>
      </c>
      <c r="K5" s="36">
        <f t="shared" si="6"/>
        <v>0</v>
      </c>
      <c r="L5" s="45">
        <f t="shared" si="7"/>
        <v>972.96555680539927</v>
      </c>
    </row>
    <row r="6" spans="1:12" x14ac:dyDescent="0.25">
      <c r="A6" s="2">
        <v>4401</v>
      </c>
      <c r="B6" s="1">
        <v>463</v>
      </c>
      <c r="C6" s="1">
        <v>465</v>
      </c>
      <c r="D6" s="1">
        <v>471</v>
      </c>
      <c r="E6" s="1">
        <f t="shared" si="2"/>
        <v>8000</v>
      </c>
      <c r="F6" s="1">
        <f t="shared" si="3"/>
        <v>8000</v>
      </c>
      <c r="G6" s="1">
        <f t="shared" si="0"/>
        <v>0</v>
      </c>
      <c r="H6" s="1">
        <f t="shared" si="1"/>
        <v>0</v>
      </c>
      <c r="I6" s="36">
        <f t="shared" si="4"/>
        <v>1297.2874090738658</v>
      </c>
      <c r="J6" s="36">
        <f t="shared" si="5"/>
        <v>0</v>
      </c>
      <c r="K6" s="36">
        <f t="shared" si="6"/>
        <v>0</v>
      </c>
      <c r="L6" s="45">
        <f t="shared" si="7"/>
        <v>1297.2874090738658</v>
      </c>
    </row>
    <row r="7" spans="1:12" x14ac:dyDescent="0.25">
      <c r="A7" s="2">
        <v>5501</v>
      </c>
      <c r="B7" s="1">
        <v>503</v>
      </c>
      <c r="C7" s="1">
        <v>508</v>
      </c>
      <c r="D7" s="1">
        <v>515</v>
      </c>
      <c r="E7" s="1">
        <f t="shared" si="2"/>
        <v>12000</v>
      </c>
      <c r="F7" s="1">
        <f t="shared" si="3"/>
        <v>12000</v>
      </c>
      <c r="G7" s="1">
        <f t="shared" si="0"/>
        <v>0</v>
      </c>
      <c r="H7" s="1">
        <f t="shared" si="1"/>
        <v>0</v>
      </c>
      <c r="I7" s="36">
        <f t="shared" si="4"/>
        <v>1945.9311136107985</v>
      </c>
      <c r="J7" s="36">
        <f t="shared" si="5"/>
        <v>0</v>
      </c>
      <c r="K7" s="36">
        <f t="shared" si="6"/>
        <v>0</v>
      </c>
      <c r="L7" s="45">
        <f t="shared" si="7"/>
        <v>1945.9311136107985</v>
      </c>
    </row>
    <row r="8" spans="1:12" x14ac:dyDescent="0.25">
      <c r="A8" s="2">
        <v>6601</v>
      </c>
      <c r="B8" s="1">
        <v>427</v>
      </c>
      <c r="C8" s="1">
        <v>427</v>
      </c>
      <c r="D8" s="1">
        <v>427</v>
      </c>
      <c r="E8" s="1">
        <f t="shared" si="2"/>
        <v>0</v>
      </c>
      <c r="F8" s="1">
        <f t="shared" si="3"/>
        <v>0</v>
      </c>
      <c r="G8" s="1">
        <f t="shared" si="0"/>
        <v>0</v>
      </c>
      <c r="H8" s="1">
        <f t="shared" si="1"/>
        <v>0</v>
      </c>
      <c r="I8" s="36">
        <f t="shared" si="4"/>
        <v>0</v>
      </c>
      <c r="J8" s="36">
        <f t="shared" si="5"/>
        <v>0</v>
      </c>
      <c r="K8" s="36">
        <f t="shared" si="6"/>
        <v>0</v>
      </c>
      <c r="L8" s="45">
        <f t="shared" si="7"/>
        <v>0</v>
      </c>
    </row>
    <row r="9" spans="1:12" x14ac:dyDescent="0.25">
      <c r="A9" s="2">
        <v>7701</v>
      </c>
      <c r="B9" s="1">
        <v>518</v>
      </c>
      <c r="C9" s="1">
        <v>520</v>
      </c>
      <c r="D9" s="1">
        <v>524</v>
      </c>
      <c r="E9" s="1">
        <f t="shared" si="2"/>
        <v>6000</v>
      </c>
      <c r="F9" s="50">
        <f t="shared" ref="F9" si="8">IF(E9 &gt; 15000, 15000, E9)</f>
        <v>6000</v>
      </c>
      <c r="G9" s="1">
        <f t="shared" si="0"/>
        <v>0</v>
      </c>
      <c r="H9" s="1">
        <f t="shared" si="1"/>
        <v>0</v>
      </c>
      <c r="I9" s="36">
        <f t="shared" si="4"/>
        <v>972.96555680539927</v>
      </c>
      <c r="J9" s="36">
        <f t="shared" si="5"/>
        <v>0</v>
      </c>
      <c r="K9" s="36">
        <f t="shared" si="6"/>
        <v>0</v>
      </c>
      <c r="L9" s="45">
        <f t="shared" si="7"/>
        <v>972.96555680539927</v>
      </c>
    </row>
    <row r="10" spans="1:12" x14ac:dyDescent="0.25">
      <c r="A10" s="2">
        <v>8801</v>
      </c>
      <c r="B10" s="1">
        <v>641</v>
      </c>
      <c r="C10" s="1">
        <v>645</v>
      </c>
      <c r="D10" s="1">
        <v>649</v>
      </c>
      <c r="E10" s="1">
        <f t="shared" si="2"/>
        <v>8000</v>
      </c>
      <c r="F10" s="1">
        <f t="shared" si="3"/>
        <v>8000</v>
      </c>
      <c r="G10" s="1">
        <f t="shared" si="0"/>
        <v>0</v>
      </c>
      <c r="H10" s="1">
        <f t="shared" si="1"/>
        <v>0</v>
      </c>
      <c r="I10" s="36">
        <f t="shared" si="4"/>
        <v>1297.2874090738658</v>
      </c>
      <c r="J10" s="36">
        <f t="shared" si="5"/>
        <v>0</v>
      </c>
      <c r="K10" s="36">
        <f t="shared" si="6"/>
        <v>0</v>
      </c>
      <c r="L10" s="45">
        <f t="shared" si="7"/>
        <v>1297.2874090738658</v>
      </c>
    </row>
    <row r="11" spans="1:12" x14ac:dyDescent="0.25">
      <c r="A11" s="7">
        <v>1102</v>
      </c>
      <c r="B11" s="1">
        <v>1596</v>
      </c>
      <c r="C11" s="1">
        <v>1603</v>
      </c>
      <c r="D11" s="1">
        <v>1612</v>
      </c>
      <c r="E11" s="1">
        <f t="shared" si="2"/>
        <v>16000</v>
      </c>
      <c r="F11" s="1">
        <f t="shared" si="3"/>
        <v>15000</v>
      </c>
      <c r="G11" s="1">
        <f t="shared" si="0"/>
        <v>1000</v>
      </c>
      <c r="H11" s="1">
        <f t="shared" si="1"/>
        <v>0</v>
      </c>
      <c r="I11" s="36">
        <f t="shared" si="4"/>
        <v>2432.4138920134983</v>
      </c>
      <c r="J11" s="36">
        <f t="shared" si="5"/>
        <v>243.24138920134982</v>
      </c>
      <c r="K11" s="36">
        <f t="shared" si="6"/>
        <v>0</v>
      </c>
      <c r="L11" s="45">
        <f t="shared" si="7"/>
        <v>2675.6552812148479</v>
      </c>
    </row>
    <row r="12" spans="1:12" x14ac:dyDescent="0.25">
      <c r="A12" s="2">
        <v>2202</v>
      </c>
      <c r="B12" s="1">
        <v>459</v>
      </c>
      <c r="C12" s="1">
        <v>459</v>
      </c>
      <c r="D12" s="1">
        <v>462</v>
      </c>
      <c r="E12" s="1">
        <f t="shared" si="2"/>
        <v>3000</v>
      </c>
      <c r="F12" s="1">
        <f t="shared" si="3"/>
        <v>3000</v>
      </c>
      <c r="G12" s="1">
        <f t="shared" si="0"/>
        <v>0</v>
      </c>
      <c r="H12" s="1">
        <f t="shared" si="1"/>
        <v>0</v>
      </c>
      <c r="I12" s="36">
        <f t="shared" si="4"/>
        <v>486.48277840269964</v>
      </c>
      <c r="J12" s="36">
        <f t="shared" si="5"/>
        <v>0</v>
      </c>
      <c r="K12" s="36">
        <f t="shared" si="6"/>
        <v>0</v>
      </c>
      <c r="L12" s="45">
        <f t="shared" si="7"/>
        <v>486.48277840269964</v>
      </c>
    </row>
    <row r="13" spans="1:12" x14ac:dyDescent="0.25">
      <c r="A13" s="2">
        <v>3302</v>
      </c>
      <c r="B13" s="1">
        <v>679</v>
      </c>
      <c r="C13" s="1">
        <v>684</v>
      </c>
      <c r="D13" s="1">
        <v>692</v>
      </c>
      <c r="E13" s="1">
        <f t="shared" si="2"/>
        <v>13000</v>
      </c>
      <c r="F13" s="1">
        <f t="shared" si="3"/>
        <v>13000</v>
      </c>
      <c r="G13" s="1">
        <f t="shared" si="0"/>
        <v>0</v>
      </c>
      <c r="H13" s="1">
        <f t="shared" si="1"/>
        <v>0</v>
      </c>
      <c r="I13" s="36">
        <f t="shared" si="4"/>
        <v>2108.0920397450318</v>
      </c>
      <c r="J13" s="36">
        <f t="shared" si="5"/>
        <v>0</v>
      </c>
      <c r="K13" s="36">
        <f t="shared" si="6"/>
        <v>0</v>
      </c>
      <c r="L13" s="45">
        <f t="shared" si="7"/>
        <v>2108.0920397450318</v>
      </c>
    </row>
    <row r="14" spans="1:12" x14ac:dyDescent="0.25">
      <c r="A14" s="2">
        <v>4402</v>
      </c>
      <c r="B14" s="1">
        <v>820</v>
      </c>
      <c r="C14" s="1">
        <v>826</v>
      </c>
      <c r="D14" s="1">
        <v>835</v>
      </c>
      <c r="E14" s="1">
        <f t="shared" si="2"/>
        <v>15000</v>
      </c>
      <c r="F14" s="1">
        <f t="shared" si="3"/>
        <v>15000</v>
      </c>
      <c r="G14" s="1">
        <f t="shared" si="0"/>
        <v>0</v>
      </c>
      <c r="H14" s="1">
        <f t="shared" si="1"/>
        <v>0</v>
      </c>
      <c r="I14" s="36">
        <f t="shared" si="4"/>
        <v>2432.4138920134983</v>
      </c>
      <c r="J14" s="36">
        <f t="shared" si="5"/>
        <v>0</v>
      </c>
      <c r="K14" s="36">
        <f t="shared" si="6"/>
        <v>0</v>
      </c>
      <c r="L14" s="45">
        <f t="shared" si="7"/>
        <v>2432.4138920134983</v>
      </c>
    </row>
    <row r="15" spans="1:12" x14ac:dyDescent="0.25">
      <c r="A15" s="2">
        <v>5502</v>
      </c>
      <c r="B15" s="1">
        <v>772</v>
      </c>
      <c r="C15" s="19">
        <v>777</v>
      </c>
      <c r="D15" s="1">
        <v>783</v>
      </c>
      <c r="E15" s="1">
        <f t="shared" si="2"/>
        <v>11000</v>
      </c>
      <c r="F15" s="1">
        <f t="shared" si="3"/>
        <v>11000</v>
      </c>
      <c r="G15" s="1">
        <f t="shared" si="0"/>
        <v>0</v>
      </c>
      <c r="H15" s="1">
        <f t="shared" si="1"/>
        <v>0</v>
      </c>
      <c r="I15" s="36">
        <f t="shared" si="4"/>
        <v>1783.7701874765653</v>
      </c>
      <c r="J15" s="36">
        <f t="shared" si="5"/>
        <v>0</v>
      </c>
      <c r="K15" s="36">
        <f t="shared" si="6"/>
        <v>0</v>
      </c>
      <c r="L15" s="45">
        <f t="shared" si="7"/>
        <v>1783.7701874765653</v>
      </c>
    </row>
    <row r="16" spans="1:12" x14ac:dyDescent="0.25">
      <c r="A16" s="2">
        <v>6602</v>
      </c>
      <c r="B16" s="1">
        <v>764</v>
      </c>
      <c r="C16" s="1">
        <v>768</v>
      </c>
      <c r="D16" s="1">
        <v>771</v>
      </c>
      <c r="E16" s="1">
        <f t="shared" si="2"/>
        <v>7000</v>
      </c>
      <c r="F16" s="1">
        <f t="shared" si="3"/>
        <v>7000</v>
      </c>
      <c r="G16" s="1">
        <f t="shared" si="0"/>
        <v>0</v>
      </c>
      <c r="H16" s="1">
        <f t="shared" si="1"/>
        <v>0</v>
      </c>
      <c r="I16" s="36">
        <f t="shared" si="4"/>
        <v>1135.1264829396325</v>
      </c>
      <c r="J16" s="36">
        <f t="shared" si="5"/>
        <v>0</v>
      </c>
      <c r="K16" s="36">
        <f t="shared" si="6"/>
        <v>0</v>
      </c>
      <c r="L16" s="45">
        <f t="shared" si="7"/>
        <v>1135.1264829396325</v>
      </c>
    </row>
    <row r="17" spans="1:12" x14ac:dyDescent="0.25">
      <c r="A17" s="2">
        <v>7702</v>
      </c>
      <c r="B17" s="1">
        <v>875</v>
      </c>
      <c r="C17" s="1">
        <v>881</v>
      </c>
      <c r="D17" s="1">
        <v>887</v>
      </c>
      <c r="E17" s="1">
        <f t="shared" si="2"/>
        <v>12000</v>
      </c>
      <c r="F17" s="1">
        <f t="shared" si="3"/>
        <v>12000</v>
      </c>
      <c r="G17" s="1">
        <f t="shared" si="0"/>
        <v>0</v>
      </c>
      <c r="H17" s="1">
        <f t="shared" si="1"/>
        <v>0</v>
      </c>
      <c r="I17" s="36">
        <f t="shared" si="4"/>
        <v>1945.9311136107985</v>
      </c>
      <c r="J17" s="36">
        <f t="shared" si="5"/>
        <v>0</v>
      </c>
      <c r="K17" s="36">
        <f t="shared" si="6"/>
        <v>0</v>
      </c>
      <c r="L17" s="45">
        <f t="shared" si="7"/>
        <v>1945.9311136107985</v>
      </c>
    </row>
    <row r="18" spans="1:12" x14ac:dyDescent="0.25">
      <c r="A18" s="2">
        <v>8802</v>
      </c>
      <c r="B18" s="1">
        <v>498</v>
      </c>
      <c r="C18" s="32">
        <v>500</v>
      </c>
      <c r="D18" s="1">
        <v>503</v>
      </c>
      <c r="E18" s="1">
        <f t="shared" si="2"/>
        <v>5000</v>
      </c>
      <c r="F18" s="1">
        <f t="shared" si="3"/>
        <v>5000</v>
      </c>
      <c r="G18" s="1">
        <f t="shared" si="0"/>
        <v>0</v>
      </c>
      <c r="H18" s="1">
        <f t="shared" si="1"/>
        <v>0</v>
      </c>
      <c r="I18" s="36">
        <f t="shared" si="4"/>
        <v>810.80463067116614</v>
      </c>
      <c r="J18" s="36">
        <f t="shared" si="5"/>
        <v>0</v>
      </c>
      <c r="K18" s="36">
        <f t="shared" si="6"/>
        <v>0</v>
      </c>
      <c r="L18" s="45">
        <f t="shared" si="7"/>
        <v>810.80463067116614</v>
      </c>
    </row>
    <row r="19" spans="1:12" x14ac:dyDescent="0.25">
      <c r="A19" s="2">
        <v>1103</v>
      </c>
      <c r="B19" s="1">
        <v>881</v>
      </c>
      <c r="C19" s="1">
        <v>887</v>
      </c>
      <c r="D19" s="1">
        <v>892</v>
      </c>
      <c r="E19" s="1">
        <f t="shared" si="2"/>
        <v>11000</v>
      </c>
      <c r="F19" s="1">
        <f t="shared" si="3"/>
        <v>11000</v>
      </c>
      <c r="G19" s="1">
        <f>IF(E19 &gt; 20000, 5000, IF(E19 &gt; 15000, (E19-15000), 0))</f>
        <v>0</v>
      </c>
      <c r="H19" s="1">
        <f>IF(E19&gt;20000,E19-20000,0)</f>
        <v>0</v>
      </c>
      <c r="I19" s="36">
        <f t="shared" si="4"/>
        <v>1783.7701874765653</v>
      </c>
      <c r="J19" s="36">
        <f t="shared" si="5"/>
        <v>0</v>
      </c>
      <c r="K19" s="36">
        <f t="shared" si="6"/>
        <v>0</v>
      </c>
      <c r="L19" s="45">
        <f t="shared" si="7"/>
        <v>1783.7701874765653</v>
      </c>
    </row>
    <row r="20" spans="1:12" x14ac:dyDescent="0.25">
      <c r="A20" s="2">
        <v>2203</v>
      </c>
      <c r="B20" s="1">
        <v>359</v>
      </c>
      <c r="C20" s="1">
        <v>362</v>
      </c>
      <c r="D20" s="1">
        <v>365</v>
      </c>
      <c r="E20" s="1">
        <f t="shared" si="2"/>
        <v>6000</v>
      </c>
      <c r="F20" s="1">
        <f t="shared" si="3"/>
        <v>6000</v>
      </c>
      <c r="G20" s="1">
        <f t="shared" ref="G20:G50" si="9">IF(E20 &gt; 20000, 5000, IF(E20 &gt; 15000, (E20-15000), 0))</f>
        <v>0</v>
      </c>
      <c r="H20" s="1">
        <f t="shared" ref="H20:H50" si="10">IF(E20&gt;20000,E20-20000,0)</f>
        <v>0</v>
      </c>
      <c r="I20" s="36">
        <f t="shared" si="4"/>
        <v>972.96555680539927</v>
      </c>
      <c r="J20" s="36">
        <f t="shared" si="5"/>
        <v>0</v>
      </c>
      <c r="K20" s="36">
        <f t="shared" si="6"/>
        <v>0</v>
      </c>
      <c r="L20" s="45">
        <f t="shared" si="7"/>
        <v>972.96555680539927</v>
      </c>
    </row>
    <row r="21" spans="1:12" x14ac:dyDescent="0.25">
      <c r="A21" s="2">
        <v>3303</v>
      </c>
      <c r="B21" s="1">
        <v>966</v>
      </c>
      <c r="C21" s="1">
        <v>966</v>
      </c>
      <c r="D21" s="1">
        <v>972</v>
      </c>
      <c r="E21" s="1">
        <f t="shared" si="2"/>
        <v>6000</v>
      </c>
      <c r="F21" s="1">
        <f t="shared" si="3"/>
        <v>6000</v>
      </c>
      <c r="G21" s="1">
        <f t="shared" si="9"/>
        <v>0</v>
      </c>
      <c r="H21" s="1">
        <f t="shared" si="10"/>
        <v>0</v>
      </c>
      <c r="I21" s="36">
        <f t="shared" si="4"/>
        <v>972.96555680539927</v>
      </c>
      <c r="J21" s="36">
        <f t="shared" si="5"/>
        <v>0</v>
      </c>
      <c r="K21" s="36">
        <f t="shared" si="6"/>
        <v>0</v>
      </c>
      <c r="L21" s="45">
        <f t="shared" si="7"/>
        <v>972.96555680539927</v>
      </c>
    </row>
    <row r="22" spans="1:12" x14ac:dyDescent="0.25">
      <c r="A22" s="2">
        <v>4403</v>
      </c>
      <c r="B22" s="1">
        <v>729</v>
      </c>
      <c r="C22" s="1">
        <v>733</v>
      </c>
      <c r="D22" s="1">
        <v>739</v>
      </c>
      <c r="E22" s="1">
        <f t="shared" si="2"/>
        <v>10000</v>
      </c>
      <c r="F22" s="1">
        <f t="shared" si="3"/>
        <v>10000</v>
      </c>
      <c r="G22" s="1">
        <f t="shared" si="9"/>
        <v>0</v>
      </c>
      <c r="H22" s="1">
        <f t="shared" si="10"/>
        <v>0</v>
      </c>
      <c r="I22" s="36">
        <f t="shared" si="4"/>
        <v>1621.6092613423323</v>
      </c>
      <c r="J22" s="36">
        <f t="shared" si="5"/>
        <v>0</v>
      </c>
      <c r="K22" s="36">
        <f t="shared" si="6"/>
        <v>0</v>
      </c>
      <c r="L22" s="45">
        <f t="shared" si="7"/>
        <v>1621.6092613423323</v>
      </c>
    </row>
    <row r="23" spans="1:12" x14ac:dyDescent="0.25">
      <c r="A23" s="2">
        <v>5503</v>
      </c>
      <c r="B23" s="1">
        <v>401</v>
      </c>
      <c r="C23" s="1">
        <v>404</v>
      </c>
      <c r="D23" s="1">
        <v>410</v>
      </c>
      <c r="E23" s="1">
        <f t="shared" si="2"/>
        <v>9000</v>
      </c>
      <c r="F23" s="1">
        <f t="shared" si="3"/>
        <v>9000</v>
      </c>
      <c r="G23" s="1">
        <f t="shared" si="9"/>
        <v>0</v>
      </c>
      <c r="H23" s="1">
        <f t="shared" si="10"/>
        <v>0</v>
      </c>
      <c r="I23" s="36">
        <f t="shared" si="4"/>
        <v>1459.448335208099</v>
      </c>
      <c r="J23" s="36">
        <f t="shared" si="5"/>
        <v>0</v>
      </c>
      <c r="K23" s="36">
        <f t="shared" si="6"/>
        <v>0</v>
      </c>
      <c r="L23" s="45">
        <f t="shared" si="7"/>
        <v>1459.448335208099</v>
      </c>
    </row>
    <row r="24" spans="1:12" x14ac:dyDescent="0.25">
      <c r="A24" s="2">
        <v>6603</v>
      </c>
      <c r="B24" s="1">
        <v>628</v>
      </c>
      <c r="C24" s="1">
        <v>632</v>
      </c>
      <c r="D24" s="1">
        <v>637</v>
      </c>
      <c r="E24" s="1">
        <f t="shared" si="2"/>
        <v>9000</v>
      </c>
      <c r="F24" s="1">
        <f t="shared" si="3"/>
        <v>9000</v>
      </c>
      <c r="G24" s="1">
        <f t="shared" si="9"/>
        <v>0</v>
      </c>
      <c r="H24" s="1">
        <f t="shared" si="10"/>
        <v>0</v>
      </c>
      <c r="I24" s="36">
        <f t="shared" si="4"/>
        <v>1459.448335208099</v>
      </c>
      <c r="J24" s="36">
        <f t="shared" si="5"/>
        <v>0</v>
      </c>
      <c r="K24" s="36">
        <f t="shared" si="6"/>
        <v>0</v>
      </c>
      <c r="L24" s="45">
        <f t="shared" si="7"/>
        <v>1459.448335208099</v>
      </c>
    </row>
    <row r="25" spans="1:12" x14ac:dyDescent="0.25">
      <c r="A25" s="2">
        <v>7703</v>
      </c>
      <c r="B25" s="1">
        <v>597</v>
      </c>
      <c r="C25" s="1">
        <v>602</v>
      </c>
      <c r="D25" s="1">
        <v>608</v>
      </c>
      <c r="E25" s="1">
        <f t="shared" si="2"/>
        <v>11000</v>
      </c>
      <c r="F25" s="1">
        <f t="shared" si="3"/>
        <v>11000</v>
      </c>
      <c r="G25" s="1">
        <f t="shared" si="9"/>
        <v>0</v>
      </c>
      <c r="H25" s="1">
        <f t="shared" si="10"/>
        <v>0</v>
      </c>
      <c r="I25" s="36">
        <f t="shared" si="4"/>
        <v>1783.7701874765653</v>
      </c>
      <c r="J25" s="36">
        <f t="shared" si="5"/>
        <v>0</v>
      </c>
      <c r="K25" s="36">
        <f t="shared" si="6"/>
        <v>0</v>
      </c>
      <c r="L25" s="45">
        <f t="shared" si="7"/>
        <v>1783.7701874765653</v>
      </c>
    </row>
    <row r="26" spans="1:12" x14ac:dyDescent="0.25">
      <c r="A26" s="2">
        <v>8803</v>
      </c>
      <c r="B26" s="1">
        <v>728</v>
      </c>
      <c r="C26" s="1">
        <v>734</v>
      </c>
      <c r="D26" s="1">
        <v>740</v>
      </c>
      <c r="E26" s="1">
        <f t="shared" si="2"/>
        <v>12000</v>
      </c>
      <c r="F26" s="1">
        <f t="shared" si="3"/>
        <v>12000</v>
      </c>
      <c r="G26" s="1">
        <f t="shared" si="9"/>
        <v>0</v>
      </c>
      <c r="H26" s="1">
        <f t="shared" si="10"/>
        <v>0</v>
      </c>
      <c r="I26" s="36">
        <f t="shared" si="4"/>
        <v>1945.9311136107985</v>
      </c>
      <c r="J26" s="36">
        <f t="shared" si="5"/>
        <v>0</v>
      </c>
      <c r="K26" s="36">
        <f t="shared" si="6"/>
        <v>0</v>
      </c>
      <c r="L26" s="45">
        <f t="shared" si="7"/>
        <v>1945.9311136107985</v>
      </c>
    </row>
    <row r="27" spans="1:12" x14ac:dyDescent="0.25">
      <c r="A27" s="2">
        <v>1104</v>
      </c>
      <c r="B27" s="1">
        <v>614</v>
      </c>
      <c r="C27" s="1">
        <v>619</v>
      </c>
      <c r="D27" s="1">
        <v>623</v>
      </c>
      <c r="E27" s="1">
        <f t="shared" si="2"/>
        <v>9000</v>
      </c>
      <c r="F27" s="1">
        <f t="shared" si="3"/>
        <v>9000</v>
      </c>
      <c r="G27" s="1">
        <f t="shared" si="9"/>
        <v>0</v>
      </c>
      <c r="H27" s="1">
        <f t="shared" si="10"/>
        <v>0</v>
      </c>
      <c r="I27" s="36">
        <f t="shared" si="4"/>
        <v>1459.448335208099</v>
      </c>
      <c r="J27" s="36">
        <f t="shared" si="5"/>
        <v>0</v>
      </c>
      <c r="K27" s="36">
        <f t="shared" si="6"/>
        <v>0</v>
      </c>
      <c r="L27" s="45">
        <f t="shared" si="7"/>
        <v>1459.448335208099</v>
      </c>
    </row>
    <row r="28" spans="1:12" x14ac:dyDescent="0.25">
      <c r="A28" s="2">
        <v>2204</v>
      </c>
      <c r="B28" s="1">
        <v>358</v>
      </c>
      <c r="C28" s="1">
        <v>361</v>
      </c>
      <c r="D28" s="1">
        <v>363</v>
      </c>
      <c r="E28" s="1">
        <f t="shared" si="2"/>
        <v>5000</v>
      </c>
      <c r="F28" s="1">
        <f t="shared" si="3"/>
        <v>5000</v>
      </c>
      <c r="G28" s="1">
        <f t="shared" si="9"/>
        <v>0</v>
      </c>
      <c r="H28" s="1">
        <f t="shared" si="10"/>
        <v>0</v>
      </c>
      <c r="I28" s="36">
        <f t="shared" si="4"/>
        <v>810.80463067116614</v>
      </c>
      <c r="J28" s="36">
        <f t="shared" si="5"/>
        <v>0</v>
      </c>
      <c r="K28" s="36">
        <f t="shared" si="6"/>
        <v>0</v>
      </c>
      <c r="L28" s="45">
        <f t="shared" si="7"/>
        <v>810.80463067116614</v>
      </c>
    </row>
    <row r="29" spans="1:12" x14ac:dyDescent="0.25">
      <c r="A29" s="2">
        <v>3304</v>
      </c>
      <c r="B29" s="1">
        <v>369</v>
      </c>
      <c r="C29" s="1">
        <v>372</v>
      </c>
      <c r="D29" s="1">
        <v>376</v>
      </c>
      <c r="E29" s="1">
        <f t="shared" si="2"/>
        <v>7000</v>
      </c>
      <c r="F29" s="1">
        <f t="shared" si="3"/>
        <v>7000</v>
      </c>
      <c r="G29" s="1">
        <f t="shared" si="9"/>
        <v>0</v>
      </c>
      <c r="H29" s="1">
        <f t="shared" si="10"/>
        <v>0</v>
      </c>
      <c r="I29" s="36">
        <f t="shared" si="4"/>
        <v>1135.1264829396325</v>
      </c>
      <c r="J29" s="36">
        <f t="shared" si="5"/>
        <v>0</v>
      </c>
      <c r="K29" s="36">
        <f t="shared" si="6"/>
        <v>0</v>
      </c>
      <c r="L29" s="45">
        <f t="shared" si="7"/>
        <v>1135.1264829396325</v>
      </c>
    </row>
    <row r="30" spans="1:12" x14ac:dyDescent="0.25">
      <c r="A30" s="2">
        <v>4404</v>
      </c>
      <c r="B30" s="1">
        <v>402</v>
      </c>
      <c r="C30" s="1">
        <v>405</v>
      </c>
      <c r="D30" s="1">
        <v>409</v>
      </c>
      <c r="E30" s="1">
        <f t="shared" si="2"/>
        <v>7000</v>
      </c>
      <c r="F30" s="1">
        <f t="shared" si="3"/>
        <v>7000</v>
      </c>
      <c r="G30" s="1">
        <f t="shared" si="9"/>
        <v>0</v>
      </c>
      <c r="H30" s="1">
        <f t="shared" si="10"/>
        <v>0</v>
      </c>
      <c r="I30" s="36">
        <f t="shared" si="4"/>
        <v>1135.1264829396325</v>
      </c>
      <c r="J30" s="36">
        <f t="shared" si="5"/>
        <v>0</v>
      </c>
      <c r="K30" s="36">
        <f t="shared" si="6"/>
        <v>0</v>
      </c>
      <c r="L30" s="45">
        <f t="shared" si="7"/>
        <v>1135.1264829396325</v>
      </c>
    </row>
    <row r="31" spans="1:12" x14ac:dyDescent="0.25">
      <c r="A31" s="2">
        <v>5504</v>
      </c>
      <c r="B31" s="1">
        <v>236</v>
      </c>
      <c r="C31" s="1">
        <v>239</v>
      </c>
      <c r="D31" s="1">
        <v>241</v>
      </c>
      <c r="E31" s="1">
        <f t="shared" si="2"/>
        <v>5000</v>
      </c>
      <c r="F31" s="1">
        <f t="shared" si="3"/>
        <v>5000</v>
      </c>
      <c r="G31" s="1">
        <f t="shared" si="9"/>
        <v>0</v>
      </c>
      <c r="H31" s="1">
        <f t="shared" si="10"/>
        <v>0</v>
      </c>
      <c r="I31" s="36">
        <f t="shared" si="4"/>
        <v>810.80463067116614</v>
      </c>
      <c r="J31" s="36">
        <f t="shared" si="5"/>
        <v>0</v>
      </c>
      <c r="K31" s="36">
        <f t="shared" si="6"/>
        <v>0</v>
      </c>
      <c r="L31" s="45">
        <f t="shared" si="7"/>
        <v>810.80463067116614</v>
      </c>
    </row>
    <row r="32" spans="1:12" x14ac:dyDescent="0.25">
      <c r="A32" s="2">
        <v>6604</v>
      </c>
      <c r="B32" s="1">
        <v>431</v>
      </c>
      <c r="C32" s="1">
        <v>435</v>
      </c>
      <c r="D32" s="1">
        <v>438</v>
      </c>
      <c r="E32" s="1">
        <f t="shared" si="2"/>
        <v>7000</v>
      </c>
      <c r="F32" s="1">
        <f t="shared" si="3"/>
        <v>7000</v>
      </c>
      <c r="G32" s="1">
        <f t="shared" si="9"/>
        <v>0</v>
      </c>
      <c r="H32" s="1">
        <f t="shared" si="10"/>
        <v>0</v>
      </c>
      <c r="I32" s="36">
        <f t="shared" si="4"/>
        <v>1135.1264829396325</v>
      </c>
      <c r="J32" s="36">
        <f t="shared" si="5"/>
        <v>0</v>
      </c>
      <c r="K32" s="36">
        <f t="shared" si="6"/>
        <v>0</v>
      </c>
      <c r="L32" s="45">
        <f t="shared" si="7"/>
        <v>1135.1264829396325</v>
      </c>
    </row>
    <row r="33" spans="1:12" x14ac:dyDescent="0.25">
      <c r="A33" s="2">
        <v>7704</v>
      </c>
      <c r="B33" s="1">
        <v>301</v>
      </c>
      <c r="C33" s="1">
        <v>304</v>
      </c>
      <c r="D33" s="1">
        <v>309</v>
      </c>
      <c r="E33" s="1">
        <f t="shared" si="2"/>
        <v>8000</v>
      </c>
      <c r="F33" s="1">
        <f t="shared" si="3"/>
        <v>8000</v>
      </c>
      <c r="G33" s="1">
        <f t="shared" si="9"/>
        <v>0</v>
      </c>
      <c r="H33" s="1">
        <f t="shared" si="10"/>
        <v>0</v>
      </c>
      <c r="I33" s="36">
        <f t="shared" si="4"/>
        <v>1297.2874090738658</v>
      </c>
      <c r="J33" s="36">
        <f t="shared" si="5"/>
        <v>0</v>
      </c>
      <c r="K33" s="36">
        <f t="shared" si="6"/>
        <v>0</v>
      </c>
      <c r="L33" s="45">
        <f t="shared" si="7"/>
        <v>1297.2874090738658</v>
      </c>
    </row>
    <row r="34" spans="1:12" x14ac:dyDescent="0.25">
      <c r="A34" s="2">
        <v>8804</v>
      </c>
      <c r="B34" s="1">
        <v>369</v>
      </c>
      <c r="C34" s="1">
        <v>370</v>
      </c>
      <c r="D34" s="1">
        <v>371</v>
      </c>
      <c r="E34" s="1">
        <f t="shared" si="2"/>
        <v>2000</v>
      </c>
      <c r="F34" s="1">
        <f t="shared" si="3"/>
        <v>2000</v>
      </c>
      <c r="G34" s="1">
        <f t="shared" si="9"/>
        <v>0</v>
      </c>
      <c r="H34" s="1">
        <f t="shared" si="10"/>
        <v>0</v>
      </c>
      <c r="I34" s="36">
        <f t="shared" si="4"/>
        <v>324.32185226846644</v>
      </c>
      <c r="J34" s="36">
        <f t="shared" si="5"/>
        <v>0</v>
      </c>
      <c r="K34" s="36">
        <f t="shared" si="6"/>
        <v>0</v>
      </c>
      <c r="L34" s="45">
        <f t="shared" si="7"/>
        <v>324.32185226846644</v>
      </c>
    </row>
    <row r="35" spans="1:12" x14ac:dyDescent="0.25">
      <c r="A35" s="2">
        <v>1105</v>
      </c>
      <c r="B35" s="1">
        <v>289</v>
      </c>
      <c r="C35" s="1">
        <v>292</v>
      </c>
      <c r="D35" s="1">
        <v>294</v>
      </c>
      <c r="E35" s="1">
        <f t="shared" si="2"/>
        <v>5000</v>
      </c>
      <c r="F35" s="1">
        <f t="shared" si="3"/>
        <v>5000</v>
      </c>
      <c r="G35" s="1">
        <f t="shared" si="9"/>
        <v>0</v>
      </c>
      <c r="H35" s="1">
        <f t="shared" si="10"/>
        <v>0</v>
      </c>
      <c r="I35" s="36">
        <f t="shared" si="4"/>
        <v>810.80463067116614</v>
      </c>
      <c r="J35" s="36">
        <f t="shared" si="5"/>
        <v>0</v>
      </c>
      <c r="K35" s="36">
        <f t="shared" si="6"/>
        <v>0</v>
      </c>
      <c r="L35" s="45">
        <f t="shared" si="7"/>
        <v>810.80463067116614</v>
      </c>
    </row>
    <row r="36" spans="1:12" x14ac:dyDescent="0.25">
      <c r="A36" s="2">
        <v>2205</v>
      </c>
      <c r="B36" s="1">
        <v>385</v>
      </c>
      <c r="C36" s="1">
        <v>390</v>
      </c>
      <c r="D36" s="1">
        <v>394</v>
      </c>
      <c r="E36" s="1">
        <f t="shared" si="2"/>
        <v>9000</v>
      </c>
      <c r="F36" s="1">
        <f t="shared" si="3"/>
        <v>9000</v>
      </c>
      <c r="G36" s="1">
        <f t="shared" si="9"/>
        <v>0</v>
      </c>
      <c r="H36" s="1">
        <f t="shared" si="10"/>
        <v>0</v>
      </c>
      <c r="I36" s="36">
        <f t="shared" si="4"/>
        <v>1459.448335208099</v>
      </c>
      <c r="J36" s="36">
        <f t="shared" si="5"/>
        <v>0</v>
      </c>
      <c r="K36" s="36">
        <f t="shared" si="6"/>
        <v>0</v>
      </c>
      <c r="L36" s="45">
        <f t="shared" si="7"/>
        <v>1459.448335208099</v>
      </c>
    </row>
    <row r="37" spans="1:12" x14ac:dyDescent="0.25">
      <c r="A37" s="2">
        <v>3305</v>
      </c>
      <c r="B37" s="1">
        <v>518</v>
      </c>
      <c r="C37" s="1">
        <v>521</v>
      </c>
      <c r="D37" s="1">
        <v>526</v>
      </c>
      <c r="E37" s="1">
        <f t="shared" si="2"/>
        <v>8000</v>
      </c>
      <c r="F37" s="1">
        <f t="shared" si="3"/>
        <v>8000</v>
      </c>
      <c r="G37" s="1">
        <f t="shared" si="9"/>
        <v>0</v>
      </c>
      <c r="H37" s="1">
        <f t="shared" si="10"/>
        <v>0</v>
      </c>
      <c r="I37" s="36">
        <f t="shared" si="4"/>
        <v>1297.2874090738658</v>
      </c>
      <c r="J37" s="36">
        <f t="shared" si="5"/>
        <v>0</v>
      </c>
      <c r="K37" s="36">
        <f t="shared" si="6"/>
        <v>0</v>
      </c>
      <c r="L37" s="45">
        <f t="shared" si="7"/>
        <v>1297.2874090738658</v>
      </c>
    </row>
    <row r="38" spans="1:12" x14ac:dyDescent="0.25">
      <c r="A38" s="2">
        <v>4405</v>
      </c>
      <c r="B38" s="1">
        <v>456</v>
      </c>
      <c r="C38" s="1">
        <v>463</v>
      </c>
      <c r="D38" s="1">
        <v>468</v>
      </c>
      <c r="E38" s="1">
        <f t="shared" si="2"/>
        <v>12000</v>
      </c>
      <c r="F38" s="1">
        <f t="shared" si="3"/>
        <v>12000</v>
      </c>
      <c r="G38" s="1">
        <f t="shared" si="9"/>
        <v>0</v>
      </c>
      <c r="H38" s="1">
        <f t="shared" si="10"/>
        <v>0</v>
      </c>
      <c r="I38" s="36">
        <f t="shared" si="4"/>
        <v>1945.9311136107985</v>
      </c>
      <c r="J38" s="36">
        <f t="shared" si="5"/>
        <v>0</v>
      </c>
      <c r="K38" s="36">
        <f t="shared" si="6"/>
        <v>0</v>
      </c>
      <c r="L38" s="45">
        <f t="shared" si="7"/>
        <v>1945.9311136107985</v>
      </c>
    </row>
    <row r="39" spans="1:12" x14ac:dyDescent="0.25">
      <c r="A39" s="2">
        <v>5505</v>
      </c>
      <c r="B39" s="1">
        <v>717</v>
      </c>
      <c r="C39" s="1">
        <v>726</v>
      </c>
      <c r="D39" s="1">
        <v>733</v>
      </c>
      <c r="E39" s="1">
        <f t="shared" si="2"/>
        <v>16000</v>
      </c>
      <c r="F39" s="1">
        <f t="shared" si="3"/>
        <v>15000</v>
      </c>
      <c r="G39" s="1">
        <f t="shared" si="9"/>
        <v>1000</v>
      </c>
      <c r="H39" s="1">
        <f t="shared" si="10"/>
        <v>0</v>
      </c>
      <c r="I39" s="36">
        <f t="shared" si="4"/>
        <v>2432.4138920134983</v>
      </c>
      <c r="J39" s="36">
        <f t="shared" si="5"/>
        <v>243.24138920134982</v>
      </c>
      <c r="K39" s="36">
        <f t="shared" si="6"/>
        <v>0</v>
      </c>
      <c r="L39" s="45">
        <f t="shared" si="7"/>
        <v>2675.6552812148479</v>
      </c>
    </row>
    <row r="40" spans="1:12" x14ac:dyDescent="0.25">
      <c r="A40" s="2">
        <v>6605</v>
      </c>
      <c r="B40" s="1">
        <v>396</v>
      </c>
      <c r="C40" s="1">
        <v>398</v>
      </c>
      <c r="D40" s="1">
        <v>400</v>
      </c>
      <c r="E40" s="1">
        <f t="shared" si="2"/>
        <v>4000</v>
      </c>
      <c r="F40" s="1">
        <f t="shared" si="3"/>
        <v>4000</v>
      </c>
      <c r="G40" s="1">
        <f t="shared" si="9"/>
        <v>0</v>
      </c>
      <c r="H40" s="1">
        <f t="shared" si="10"/>
        <v>0</v>
      </c>
      <c r="I40" s="36">
        <f t="shared" si="4"/>
        <v>648.64370453693289</v>
      </c>
      <c r="J40" s="36">
        <f t="shared" si="5"/>
        <v>0</v>
      </c>
      <c r="K40" s="36">
        <f t="shared" si="6"/>
        <v>0</v>
      </c>
      <c r="L40" s="45">
        <f t="shared" si="7"/>
        <v>648.64370453693289</v>
      </c>
    </row>
    <row r="41" spans="1:12" x14ac:dyDescent="0.25">
      <c r="A41" s="8">
        <v>7705</v>
      </c>
      <c r="B41" s="1">
        <v>83.311999999999998</v>
      </c>
      <c r="C41" s="1">
        <v>86.753</v>
      </c>
      <c r="D41" s="1">
        <v>91.677999999999997</v>
      </c>
      <c r="E41" s="1">
        <f t="shared" si="2"/>
        <v>8366</v>
      </c>
      <c r="F41" s="1">
        <f t="shared" si="3"/>
        <v>8366</v>
      </c>
      <c r="G41" s="1">
        <f t="shared" si="9"/>
        <v>0</v>
      </c>
      <c r="H41" s="1">
        <f t="shared" si="10"/>
        <v>0</v>
      </c>
      <c r="I41" s="36">
        <f t="shared" si="4"/>
        <v>1356.6383080389951</v>
      </c>
      <c r="J41" s="36">
        <f t="shared" si="5"/>
        <v>0</v>
      </c>
      <c r="K41" s="36">
        <f t="shared" si="6"/>
        <v>0</v>
      </c>
      <c r="L41" s="45">
        <f t="shared" si="7"/>
        <v>1356.6383080389951</v>
      </c>
    </row>
    <row r="42" spans="1:12" x14ac:dyDescent="0.25">
      <c r="A42" s="2">
        <v>8805</v>
      </c>
      <c r="B42" s="1">
        <v>243</v>
      </c>
      <c r="C42" s="1">
        <v>244</v>
      </c>
      <c r="D42" s="1">
        <v>247</v>
      </c>
      <c r="E42" s="1">
        <f t="shared" si="2"/>
        <v>4000</v>
      </c>
      <c r="F42" s="1">
        <f t="shared" si="3"/>
        <v>4000</v>
      </c>
      <c r="G42" s="1">
        <f t="shared" si="9"/>
        <v>0</v>
      </c>
      <c r="H42" s="1">
        <f t="shared" si="10"/>
        <v>0</v>
      </c>
      <c r="I42" s="36">
        <f t="shared" si="4"/>
        <v>648.64370453693289</v>
      </c>
      <c r="J42" s="36">
        <f t="shared" si="5"/>
        <v>0</v>
      </c>
      <c r="K42" s="36">
        <f t="shared" si="6"/>
        <v>0</v>
      </c>
      <c r="L42" s="45">
        <f t="shared" si="7"/>
        <v>648.64370453693289</v>
      </c>
    </row>
    <row r="43" spans="1:12" x14ac:dyDescent="0.25">
      <c r="A43" s="2">
        <v>1106</v>
      </c>
      <c r="B43" s="1">
        <v>583</v>
      </c>
      <c r="C43" s="1">
        <v>589</v>
      </c>
      <c r="D43" s="1">
        <v>595</v>
      </c>
      <c r="E43" s="1">
        <f t="shared" si="2"/>
        <v>12000</v>
      </c>
      <c r="F43" s="1">
        <f t="shared" si="3"/>
        <v>12000</v>
      </c>
      <c r="G43" s="1">
        <f t="shared" si="9"/>
        <v>0</v>
      </c>
      <c r="H43" s="1">
        <f t="shared" si="10"/>
        <v>0</v>
      </c>
      <c r="I43" s="36">
        <f t="shared" si="4"/>
        <v>1945.9311136107985</v>
      </c>
      <c r="J43" s="36">
        <f t="shared" si="5"/>
        <v>0</v>
      </c>
      <c r="K43" s="36">
        <f t="shared" si="6"/>
        <v>0</v>
      </c>
      <c r="L43" s="45">
        <f t="shared" si="7"/>
        <v>1945.9311136107985</v>
      </c>
    </row>
    <row r="44" spans="1:12" x14ac:dyDescent="0.25">
      <c r="A44" s="2">
        <v>2206</v>
      </c>
      <c r="B44" s="1">
        <v>448</v>
      </c>
      <c r="C44" s="1">
        <v>450</v>
      </c>
      <c r="D44" s="1">
        <v>453</v>
      </c>
      <c r="E44" s="1">
        <f t="shared" si="2"/>
        <v>5000</v>
      </c>
      <c r="F44" s="1">
        <f t="shared" si="3"/>
        <v>5000</v>
      </c>
      <c r="G44" s="1">
        <f t="shared" si="9"/>
        <v>0</v>
      </c>
      <c r="H44" s="1">
        <f t="shared" si="10"/>
        <v>0</v>
      </c>
      <c r="I44" s="36">
        <f t="shared" si="4"/>
        <v>810.80463067116614</v>
      </c>
      <c r="J44" s="36">
        <f t="shared" si="5"/>
        <v>0</v>
      </c>
      <c r="K44" s="36">
        <f t="shared" si="6"/>
        <v>0</v>
      </c>
      <c r="L44" s="45">
        <f t="shared" si="7"/>
        <v>810.80463067116614</v>
      </c>
    </row>
    <row r="45" spans="1:12" x14ac:dyDescent="0.25">
      <c r="A45" s="2">
        <v>3306</v>
      </c>
      <c r="B45" s="1">
        <v>651</v>
      </c>
      <c r="C45" s="1">
        <v>656</v>
      </c>
      <c r="D45" s="1">
        <v>661</v>
      </c>
      <c r="E45" s="1">
        <f t="shared" si="2"/>
        <v>10000</v>
      </c>
      <c r="F45" s="1">
        <f t="shared" si="3"/>
        <v>10000</v>
      </c>
      <c r="G45" s="1">
        <f t="shared" si="9"/>
        <v>0</v>
      </c>
      <c r="H45" s="1">
        <f t="shared" si="10"/>
        <v>0</v>
      </c>
      <c r="I45" s="36">
        <f t="shared" si="4"/>
        <v>1621.6092613423323</v>
      </c>
      <c r="J45" s="36">
        <f t="shared" si="5"/>
        <v>0</v>
      </c>
      <c r="K45" s="36">
        <f t="shared" si="6"/>
        <v>0</v>
      </c>
      <c r="L45" s="45">
        <f t="shared" si="7"/>
        <v>1621.6092613423323</v>
      </c>
    </row>
    <row r="46" spans="1:12" x14ac:dyDescent="0.25">
      <c r="A46" s="2">
        <v>4406</v>
      </c>
      <c r="B46" s="1">
        <v>658</v>
      </c>
      <c r="C46" s="1">
        <v>662</v>
      </c>
      <c r="D46" s="1">
        <v>666</v>
      </c>
      <c r="E46" s="1">
        <f t="shared" si="2"/>
        <v>8000</v>
      </c>
      <c r="F46" s="1">
        <f t="shared" si="3"/>
        <v>8000</v>
      </c>
      <c r="G46" s="1">
        <f t="shared" si="9"/>
        <v>0</v>
      </c>
      <c r="H46" s="1">
        <f t="shared" si="10"/>
        <v>0</v>
      </c>
      <c r="I46" s="36">
        <f t="shared" si="4"/>
        <v>1297.2874090738658</v>
      </c>
      <c r="J46" s="36">
        <f t="shared" si="5"/>
        <v>0</v>
      </c>
      <c r="K46" s="36">
        <f t="shared" si="6"/>
        <v>0</v>
      </c>
      <c r="L46" s="45">
        <f t="shared" si="7"/>
        <v>1297.2874090738658</v>
      </c>
    </row>
    <row r="47" spans="1:12" x14ac:dyDescent="0.25">
      <c r="A47" s="2">
        <v>5506</v>
      </c>
      <c r="B47" s="1">
        <v>710</v>
      </c>
      <c r="C47" s="1">
        <v>717</v>
      </c>
      <c r="D47" s="1">
        <v>726</v>
      </c>
      <c r="E47" s="1">
        <f t="shared" si="2"/>
        <v>16000</v>
      </c>
      <c r="F47" s="1">
        <f t="shared" si="3"/>
        <v>15000</v>
      </c>
      <c r="G47" s="1">
        <f t="shared" si="9"/>
        <v>1000</v>
      </c>
      <c r="H47" s="1">
        <f t="shared" si="10"/>
        <v>0</v>
      </c>
      <c r="I47" s="36">
        <f t="shared" si="4"/>
        <v>2432.4138920134983</v>
      </c>
      <c r="J47" s="36">
        <f t="shared" si="5"/>
        <v>243.24138920134982</v>
      </c>
      <c r="K47" s="36">
        <f t="shared" si="6"/>
        <v>0</v>
      </c>
      <c r="L47" s="45">
        <f t="shared" si="7"/>
        <v>2675.6552812148479</v>
      </c>
    </row>
    <row r="48" spans="1:12" x14ac:dyDescent="0.25">
      <c r="A48" s="2">
        <v>6606</v>
      </c>
      <c r="B48" s="1">
        <v>839</v>
      </c>
      <c r="C48" s="1">
        <v>849</v>
      </c>
      <c r="D48" s="1">
        <v>861</v>
      </c>
      <c r="E48" s="1">
        <f t="shared" si="2"/>
        <v>22000</v>
      </c>
      <c r="F48" s="1">
        <f t="shared" si="3"/>
        <v>15000</v>
      </c>
      <c r="G48" s="1">
        <f t="shared" si="9"/>
        <v>5000</v>
      </c>
      <c r="H48" s="1">
        <f t="shared" si="10"/>
        <v>2000</v>
      </c>
      <c r="I48" s="36">
        <f t="shared" si="4"/>
        <v>2432.4138920134983</v>
      </c>
      <c r="J48" s="36">
        <f t="shared" si="5"/>
        <v>1216.2069460067491</v>
      </c>
      <c r="K48" s="36">
        <f t="shared" si="6"/>
        <v>648.64370453693289</v>
      </c>
      <c r="L48" s="45">
        <f t="shared" si="7"/>
        <v>4297.26454255718</v>
      </c>
    </row>
    <row r="49" spans="1:12" x14ac:dyDescent="0.25">
      <c r="A49" s="2">
        <v>7706</v>
      </c>
      <c r="B49" s="1">
        <v>137</v>
      </c>
      <c r="C49" s="1">
        <v>137</v>
      </c>
      <c r="D49" s="1">
        <v>137</v>
      </c>
      <c r="E49" s="1">
        <f t="shared" si="2"/>
        <v>0</v>
      </c>
      <c r="F49" s="1">
        <f t="shared" si="3"/>
        <v>0</v>
      </c>
      <c r="G49" s="1">
        <f t="shared" si="9"/>
        <v>0</v>
      </c>
      <c r="H49" s="1">
        <f t="shared" si="10"/>
        <v>0</v>
      </c>
      <c r="I49" s="36">
        <f t="shared" si="4"/>
        <v>0</v>
      </c>
      <c r="J49" s="36">
        <f t="shared" si="5"/>
        <v>0</v>
      </c>
      <c r="K49" s="36">
        <f t="shared" si="6"/>
        <v>0</v>
      </c>
      <c r="L49" s="45">
        <f t="shared" si="7"/>
        <v>0</v>
      </c>
    </row>
    <row r="50" spans="1:12" x14ac:dyDescent="0.25">
      <c r="A50" s="20">
        <v>8806</v>
      </c>
      <c r="B50" s="1">
        <v>11.411</v>
      </c>
      <c r="C50" s="19">
        <v>11.411</v>
      </c>
      <c r="D50" s="1">
        <v>11.411</v>
      </c>
      <c r="E50" s="1">
        <f t="shared" si="2"/>
        <v>0</v>
      </c>
      <c r="F50" s="1">
        <f t="shared" si="3"/>
        <v>0</v>
      </c>
      <c r="G50" s="1">
        <f t="shared" si="9"/>
        <v>0</v>
      </c>
      <c r="H50" s="1">
        <f t="shared" si="10"/>
        <v>0</v>
      </c>
      <c r="I50" s="36">
        <f t="shared" si="4"/>
        <v>0</v>
      </c>
      <c r="J50" s="36">
        <f t="shared" si="5"/>
        <v>0</v>
      </c>
      <c r="K50" s="36">
        <f t="shared" si="6"/>
        <v>0</v>
      </c>
      <c r="L50" s="45">
        <f t="shared" si="7"/>
        <v>0</v>
      </c>
    </row>
    <row r="51" spans="1:12" x14ac:dyDescent="0.25">
      <c r="A51" s="9" t="s">
        <v>8</v>
      </c>
      <c r="B51" s="1"/>
      <c r="C51" s="1"/>
      <c r="D51" s="1"/>
      <c r="E51" s="1">
        <f>SUM(E3:E50)</f>
        <v>392366</v>
      </c>
      <c r="F51" s="1"/>
      <c r="G51" s="1"/>
      <c r="H51" s="1"/>
      <c r="I51" s="1"/>
      <c r="J51" s="1"/>
      <c r="K51" s="1"/>
      <c r="L51" s="48">
        <f>SUM(L3:L50)</f>
        <v>64599.399500389969</v>
      </c>
    </row>
  </sheetData>
  <mergeCells count="1">
    <mergeCell ref="F1:G1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1"/>
  <sheetViews>
    <sheetView workbookViewId="0"/>
  </sheetViews>
  <sheetFormatPr defaultRowHeight="15" x14ac:dyDescent="0.25"/>
  <cols>
    <col min="1" max="1" width="7.28515625" bestFit="1" customWidth="1"/>
    <col min="2" max="2" width="10.42578125" bestFit="1" customWidth="1"/>
    <col min="3" max="3" width="10.140625" customWidth="1"/>
    <col min="4" max="4" width="10.140625" bestFit="1" customWidth="1"/>
    <col min="5" max="5" width="12.85546875" bestFit="1" customWidth="1"/>
    <col min="6" max="8" width="9.85546875" bestFit="1" customWidth="1"/>
    <col min="9" max="11" width="15" bestFit="1" customWidth="1"/>
    <col min="12" max="12" width="12" bestFit="1" customWidth="1"/>
  </cols>
  <sheetData>
    <row r="1" spans="1:12" x14ac:dyDescent="0.25">
      <c r="A1" s="1"/>
      <c r="B1" s="1"/>
      <c r="C1" s="1"/>
      <c r="D1" s="1"/>
      <c r="E1" s="1"/>
      <c r="F1" s="54" t="s">
        <v>31</v>
      </c>
      <c r="G1" s="54"/>
      <c r="H1" s="41"/>
      <c r="I1" s="42" t="s">
        <v>32</v>
      </c>
      <c r="J1" s="42" t="s">
        <v>33</v>
      </c>
      <c r="K1" s="42" t="s">
        <v>34</v>
      </c>
      <c r="L1" s="43">
        <f>summary!B25</f>
        <v>0.16216092613423322</v>
      </c>
    </row>
    <row r="2" spans="1:12" x14ac:dyDescent="0.25">
      <c r="A2" s="6" t="s">
        <v>6</v>
      </c>
      <c r="B2" s="18">
        <f>summary!B2</f>
        <v>45961</v>
      </c>
      <c r="C2" s="6" t="str">
        <f>'A block'!C2</f>
        <v>15.11.2025</v>
      </c>
      <c r="D2" s="18">
        <f>'A block'!D2</f>
        <v>45991</v>
      </c>
      <c r="E2" s="10" t="s">
        <v>7</v>
      </c>
      <c r="F2" s="41" t="s">
        <v>35</v>
      </c>
      <c r="G2" s="41" t="s">
        <v>36</v>
      </c>
      <c r="H2" s="41" t="s">
        <v>37</v>
      </c>
      <c r="I2" s="41" t="s">
        <v>38</v>
      </c>
      <c r="J2" s="41" t="s">
        <v>39</v>
      </c>
      <c r="K2" s="41" t="s">
        <v>40</v>
      </c>
      <c r="L2" s="44" t="s">
        <v>41</v>
      </c>
    </row>
    <row r="3" spans="1:12" x14ac:dyDescent="0.25">
      <c r="A3" s="11">
        <v>1107</v>
      </c>
      <c r="B3" s="1">
        <v>390</v>
      </c>
      <c r="C3" s="1">
        <v>399</v>
      </c>
      <c r="D3" s="1">
        <v>407</v>
      </c>
      <c r="E3" s="50">
        <f>SUM(D3-B3)*1000</f>
        <v>17000</v>
      </c>
      <c r="F3" s="1">
        <f t="shared" ref="F3:F40" si="0">IF(E3 &gt; 15000, 15000, E3)</f>
        <v>15000</v>
      </c>
      <c r="G3" s="1">
        <f>IF(E3 &gt; 20000, 5000, IF(E3 &gt; 15000, (E3-15000), 0))</f>
        <v>2000</v>
      </c>
      <c r="H3" s="1">
        <f>IF(E3&gt;20000,E3-20000,0)</f>
        <v>0</v>
      </c>
      <c r="I3" s="36">
        <f>F3*$L$1</f>
        <v>2432.4138920134983</v>
      </c>
      <c r="J3" s="36">
        <f>G3*($L$1 *1.5)</f>
        <v>486.48277840269964</v>
      </c>
      <c r="K3" s="36">
        <f>H3*($L$1 *2)</f>
        <v>0</v>
      </c>
      <c r="L3" s="45">
        <f>SUM(I3:K3)</f>
        <v>2918.896670416198</v>
      </c>
    </row>
    <row r="4" spans="1:12" x14ac:dyDescent="0.25">
      <c r="A4" s="11">
        <v>2207</v>
      </c>
      <c r="B4" s="1">
        <v>522</v>
      </c>
      <c r="C4" s="1">
        <v>527</v>
      </c>
      <c r="D4" s="1">
        <v>536</v>
      </c>
      <c r="E4" s="50">
        <f t="shared" ref="E4:E40" si="1">SUM(D4-B4)*1000</f>
        <v>14000</v>
      </c>
      <c r="F4" s="1">
        <f t="shared" si="0"/>
        <v>14000</v>
      </c>
      <c r="G4" s="1">
        <f t="shared" ref="G4:G40" si="2">IF(E4 &gt; 20000, 5000, IF(E4 &gt; 15000, (E4-15000), 0))</f>
        <v>0</v>
      </c>
      <c r="H4" s="1">
        <f t="shared" ref="H4:H40" si="3">IF(E4&gt;20000,E4-20000,0)</f>
        <v>0</v>
      </c>
      <c r="I4" s="36">
        <f t="shared" ref="I4:I40" si="4">F4*$L$1</f>
        <v>2270.252965879265</v>
      </c>
      <c r="J4" s="36">
        <f t="shared" ref="J4:J40" si="5">G4*($L$1 *1.5)</f>
        <v>0</v>
      </c>
      <c r="K4" s="36">
        <f t="shared" ref="K4:K40" si="6">H4*($L$1 *2)</f>
        <v>0</v>
      </c>
      <c r="L4" s="45">
        <f t="shared" ref="L4:L40" si="7">SUM(I4:K4)</f>
        <v>2270.252965879265</v>
      </c>
    </row>
    <row r="5" spans="1:12" x14ac:dyDescent="0.25">
      <c r="A5" s="11">
        <v>3307</v>
      </c>
      <c r="B5" s="1">
        <v>614</v>
      </c>
      <c r="C5" s="1">
        <v>618</v>
      </c>
      <c r="D5" s="1">
        <v>624</v>
      </c>
      <c r="E5" s="50">
        <f t="shared" si="1"/>
        <v>10000</v>
      </c>
      <c r="F5" s="1">
        <f t="shared" si="0"/>
        <v>10000</v>
      </c>
      <c r="G5" s="1">
        <f t="shared" si="2"/>
        <v>0</v>
      </c>
      <c r="H5" s="1">
        <f t="shared" si="3"/>
        <v>0</v>
      </c>
      <c r="I5" s="36">
        <f t="shared" si="4"/>
        <v>1621.6092613423323</v>
      </c>
      <c r="J5" s="36">
        <f t="shared" si="5"/>
        <v>0</v>
      </c>
      <c r="K5" s="36">
        <f t="shared" si="6"/>
        <v>0</v>
      </c>
      <c r="L5" s="45">
        <f t="shared" si="7"/>
        <v>1621.6092613423323</v>
      </c>
    </row>
    <row r="6" spans="1:12" x14ac:dyDescent="0.25">
      <c r="A6" s="11">
        <v>4407</v>
      </c>
      <c r="B6" s="1">
        <v>674</v>
      </c>
      <c r="C6" s="1">
        <v>678</v>
      </c>
      <c r="D6" s="1">
        <v>685</v>
      </c>
      <c r="E6" s="50">
        <f t="shared" si="1"/>
        <v>11000</v>
      </c>
      <c r="F6" s="1">
        <f t="shared" si="0"/>
        <v>11000</v>
      </c>
      <c r="G6" s="1">
        <f t="shared" si="2"/>
        <v>0</v>
      </c>
      <c r="H6" s="1">
        <f t="shared" si="3"/>
        <v>0</v>
      </c>
      <c r="I6" s="36">
        <f t="shared" si="4"/>
        <v>1783.7701874765653</v>
      </c>
      <c r="J6" s="36">
        <f t="shared" si="5"/>
        <v>0</v>
      </c>
      <c r="K6" s="36">
        <f t="shared" si="6"/>
        <v>0</v>
      </c>
      <c r="L6" s="45">
        <f t="shared" si="7"/>
        <v>1783.7701874765653</v>
      </c>
    </row>
    <row r="7" spans="1:12" x14ac:dyDescent="0.25">
      <c r="A7" s="12">
        <v>5507</v>
      </c>
      <c r="B7" s="1">
        <v>49.703000000000003</v>
      </c>
      <c r="C7" s="19">
        <v>54.313000000000002</v>
      </c>
      <c r="D7" s="1">
        <v>58.279000000000003</v>
      </c>
      <c r="E7" s="50">
        <f t="shared" si="1"/>
        <v>8576</v>
      </c>
      <c r="F7" s="1">
        <f t="shared" si="0"/>
        <v>8576</v>
      </c>
      <c r="G7" s="1">
        <f t="shared" si="2"/>
        <v>0</v>
      </c>
      <c r="H7" s="1">
        <f t="shared" si="3"/>
        <v>0</v>
      </c>
      <c r="I7" s="36">
        <f t="shared" si="4"/>
        <v>1390.692102527184</v>
      </c>
      <c r="J7" s="36">
        <f t="shared" si="5"/>
        <v>0</v>
      </c>
      <c r="K7" s="36">
        <f t="shared" si="6"/>
        <v>0</v>
      </c>
      <c r="L7" s="45">
        <f t="shared" si="7"/>
        <v>1390.692102527184</v>
      </c>
    </row>
    <row r="8" spans="1:12" x14ac:dyDescent="0.25">
      <c r="A8" s="11">
        <v>6607</v>
      </c>
      <c r="B8" s="1">
        <v>596</v>
      </c>
      <c r="C8" s="1">
        <v>598</v>
      </c>
      <c r="D8" s="1">
        <v>600</v>
      </c>
      <c r="E8" s="50">
        <f t="shared" si="1"/>
        <v>4000</v>
      </c>
      <c r="F8" s="1">
        <f t="shared" si="0"/>
        <v>4000</v>
      </c>
      <c r="G8" s="1">
        <f t="shared" si="2"/>
        <v>0</v>
      </c>
      <c r="H8" s="1">
        <f t="shared" si="3"/>
        <v>0</v>
      </c>
      <c r="I8" s="36">
        <f t="shared" si="4"/>
        <v>648.64370453693289</v>
      </c>
      <c r="J8" s="36">
        <f t="shared" si="5"/>
        <v>0</v>
      </c>
      <c r="K8" s="36">
        <f t="shared" si="6"/>
        <v>0</v>
      </c>
      <c r="L8" s="45">
        <f t="shared" si="7"/>
        <v>648.64370453693289</v>
      </c>
    </row>
    <row r="9" spans="1:12" x14ac:dyDescent="0.25">
      <c r="A9" s="11">
        <v>7707</v>
      </c>
      <c r="B9" s="1">
        <v>765</v>
      </c>
      <c r="C9" s="1">
        <v>776</v>
      </c>
      <c r="D9" s="1">
        <v>788</v>
      </c>
      <c r="E9" s="50">
        <f t="shared" si="1"/>
        <v>23000</v>
      </c>
      <c r="F9" s="1">
        <f t="shared" si="0"/>
        <v>15000</v>
      </c>
      <c r="G9" s="1">
        <f t="shared" si="2"/>
        <v>5000</v>
      </c>
      <c r="H9" s="1">
        <f t="shared" si="3"/>
        <v>3000</v>
      </c>
      <c r="I9" s="36">
        <f t="shared" si="4"/>
        <v>2432.4138920134983</v>
      </c>
      <c r="J9" s="36">
        <f t="shared" si="5"/>
        <v>1216.2069460067491</v>
      </c>
      <c r="K9" s="36">
        <f t="shared" si="6"/>
        <v>972.96555680539927</v>
      </c>
      <c r="L9" s="45">
        <f t="shared" si="7"/>
        <v>4621.5863948256465</v>
      </c>
    </row>
    <row r="10" spans="1:12" x14ac:dyDescent="0.25">
      <c r="A10" s="11">
        <v>8807</v>
      </c>
      <c r="B10" s="1">
        <v>641</v>
      </c>
      <c r="C10" s="1">
        <v>647</v>
      </c>
      <c r="D10" s="1">
        <v>654</v>
      </c>
      <c r="E10" s="50">
        <f t="shared" si="1"/>
        <v>13000</v>
      </c>
      <c r="F10" s="1">
        <f t="shared" si="0"/>
        <v>13000</v>
      </c>
      <c r="G10" s="1">
        <f t="shared" si="2"/>
        <v>0</v>
      </c>
      <c r="H10" s="1">
        <f t="shared" si="3"/>
        <v>0</v>
      </c>
      <c r="I10" s="36">
        <f t="shared" si="4"/>
        <v>2108.0920397450318</v>
      </c>
      <c r="J10" s="36">
        <f t="shared" si="5"/>
        <v>0</v>
      </c>
      <c r="K10" s="36">
        <f t="shared" si="6"/>
        <v>0</v>
      </c>
      <c r="L10" s="45">
        <f t="shared" si="7"/>
        <v>2108.0920397450318</v>
      </c>
    </row>
    <row r="11" spans="1:12" x14ac:dyDescent="0.25">
      <c r="A11" s="11">
        <v>1108</v>
      </c>
      <c r="B11" s="1">
        <v>569</v>
      </c>
      <c r="C11" s="1">
        <v>573</v>
      </c>
      <c r="D11" s="1">
        <v>577</v>
      </c>
      <c r="E11" s="50">
        <f t="shared" si="1"/>
        <v>8000</v>
      </c>
      <c r="F11" s="1">
        <f t="shared" si="0"/>
        <v>8000</v>
      </c>
      <c r="G11" s="1">
        <f t="shared" si="2"/>
        <v>0</v>
      </c>
      <c r="H11" s="1">
        <f t="shared" si="3"/>
        <v>0</v>
      </c>
      <c r="I11" s="36">
        <f t="shared" si="4"/>
        <v>1297.2874090738658</v>
      </c>
      <c r="J11" s="36">
        <f t="shared" si="5"/>
        <v>0</v>
      </c>
      <c r="K11" s="36">
        <f t="shared" si="6"/>
        <v>0</v>
      </c>
      <c r="L11" s="45">
        <f t="shared" si="7"/>
        <v>1297.2874090738658</v>
      </c>
    </row>
    <row r="12" spans="1:12" x14ac:dyDescent="0.25">
      <c r="A12" s="12">
        <v>2208</v>
      </c>
      <c r="B12" s="1">
        <v>84.438999999999993</v>
      </c>
      <c r="C12" s="1">
        <v>86.733000000000004</v>
      </c>
      <c r="D12" s="1">
        <v>89.554000000000002</v>
      </c>
      <c r="E12" s="50">
        <f t="shared" si="1"/>
        <v>5115.0000000000091</v>
      </c>
      <c r="F12" s="1">
        <f t="shared" si="0"/>
        <v>5115.0000000000091</v>
      </c>
      <c r="G12" s="1">
        <f t="shared" si="2"/>
        <v>0</v>
      </c>
      <c r="H12" s="1">
        <f t="shared" si="3"/>
        <v>0</v>
      </c>
      <c r="I12" s="36">
        <f t="shared" si="4"/>
        <v>829.4531371766044</v>
      </c>
      <c r="J12" s="36">
        <f t="shared" si="5"/>
        <v>0</v>
      </c>
      <c r="K12" s="36">
        <f t="shared" si="6"/>
        <v>0</v>
      </c>
      <c r="L12" s="45">
        <f t="shared" si="7"/>
        <v>829.4531371766044</v>
      </c>
    </row>
    <row r="13" spans="1:12" x14ac:dyDescent="0.25">
      <c r="A13" s="11">
        <v>3308</v>
      </c>
      <c r="B13" s="1">
        <v>603</v>
      </c>
      <c r="C13" s="1">
        <v>607</v>
      </c>
      <c r="D13" s="1">
        <v>611</v>
      </c>
      <c r="E13" s="50">
        <f t="shared" si="1"/>
        <v>8000</v>
      </c>
      <c r="F13" s="1">
        <f t="shared" si="0"/>
        <v>8000</v>
      </c>
      <c r="G13" s="1">
        <f t="shared" si="2"/>
        <v>0</v>
      </c>
      <c r="H13" s="1">
        <f t="shared" si="3"/>
        <v>0</v>
      </c>
      <c r="I13" s="36">
        <f t="shared" si="4"/>
        <v>1297.2874090738658</v>
      </c>
      <c r="J13" s="36">
        <f t="shared" si="5"/>
        <v>0</v>
      </c>
      <c r="K13" s="36">
        <f t="shared" si="6"/>
        <v>0</v>
      </c>
      <c r="L13" s="45">
        <f t="shared" si="7"/>
        <v>1297.2874090738658</v>
      </c>
    </row>
    <row r="14" spans="1:12" x14ac:dyDescent="0.25">
      <c r="A14" s="11">
        <v>4408</v>
      </c>
      <c r="B14" s="1">
        <v>389</v>
      </c>
      <c r="C14" s="1">
        <v>392</v>
      </c>
      <c r="D14" s="1">
        <v>395</v>
      </c>
      <c r="E14" s="50">
        <f t="shared" si="1"/>
        <v>6000</v>
      </c>
      <c r="F14" s="1">
        <f t="shared" si="0"/>
        <v>6000</v>
      </c>
      <c r="G14" s="1">
        <f t="shared" si="2"/>
        <v>0</v>
      </c>
      <c r="H14" s="1">
        <f t="shared" si="3"/>
        <v>0</v>
      </c>
      <c r="I14" s="36">
        <f t="shared" si="4"/>
        <v>972.96555680539927</v>
      </c>
      <c r="J14" s="36">
        <f t="shared" si="5"/>
        <v>0</v>
      </c>
      <c r="K14" s="36">
        <f t="shared" si="6"/>
        <v>0</v>
      </c>
      <c r="L14" s="45">
        <f t="shared" si="7"/>
        <v>972.96555680539927</v>
      </c>
    </row>
    <row r="15" spans="1:12" x14ac:dyDescent="0.25">
      <c r="A15" s="11">
        <v>5508</v>
      </c>
      <c r="B15" s="1">
        <v>660</v>
      </c>
      <c r="C15" s="1">
        <v>667</v>
      </c>
      <c r="D15" s="1">
        <v>670</v>
      </c>
      <c r="E15" s="50">
        <f t="shared" si="1"/>
        <v>10000</v>
      </c>
      <c r="F15" s="1">
        <f t="shared" si="0"/>
        <v>10000</v>
      </c>
      <c r="G15" s="1">
        <f t="shared" si="2"/>
        <v>0</v>
      </c>
      <c r="H15" s="1">
        <f t="shared" si="3"/>
        <v>0</v>
      </c>
      <c r="I15" s="36">
        <f t="shared" si="4"/>
        <v>1621.6092613423323</v>
      </c>
      <c r="J15" s="36">
        <f t="shared" si="5"/>
        <v>0</v>
      </c>
      <c r="K15" s="36">
        <f t="shared" si="6"/>
        <v>0</v>
      </c>
      <c r="L15" s="45">
        <f t="shared" si="7"/>
        <v>1621.6092613423323</v>
      </c>
    </row>
    <row r="16" spans="1:12" x14ac:dyDescent="0.25">
      <c r="A16" s="11">
        <v>6608</v>
      </c>
      <c r="B16" s="1">
        <v>416</v>
      </c>
      <c r="C16" s="1">
        <v>418</v>
      </c>
      <c r="D16" s="1">
        <v>420</v>
      </c>
      <c r="E16" s="50">
        <f t="shared" si="1"/>
        <v>4000</v>
      </c>
      <c r="F16" s="1">
        <f t="shared" si="0"/>
        <v>4000</v>
      </c>
      <c r="G16" s="1">
        <f t="shared" si="2"/>
        <v>0</v>
      </c>
      <c r="H16" s="1">
        <f t="shared" si="3"/>
        <v>0</v>
      </c>
      <c r="I16" s="36">
        <f t="shared" si="4"/>
        <v>648.64370453693289</v>
      </c>
      <c r="J16" s="36">
        <f t="shared" si="5"/>
        <v>0</v>
      </c>
      <c r="K16" s="36">
        <f t="shared" si="6"/>
        <v>0</v>
      </c>
      <c r="L16" s="45">
        <f t="shared" si="7"/>
        <v>648.64370453693289</v>
      </c>
    </row>
    <row r="17" spans="1:12" x14ac:dyDescent="0.25">
      <c r="A17" s="11">
        <v>7708</v>
      </c>
      <c r="B17" s="1">
        <v>1099</v>
      </c>
      <c r="C17" s="1">
        <v>1106</v>
      </c>
      <c r="D17" s="1">
        <v>1115</v>
      </c>
      <c r="E17" s="50">
        <f t="shared" si="1"/>
        <v>16000</v>
      </c>
      <c r="F17" s="1">
        <f t="shared" si="0"/>
        <v>15000</v>
      </c>
      <c r="G17" s="1">
        <f t="shared" si="2"/>
        <v>1000</v>
      </c>
      <c r="H17" s="1">
        <f t="shared" si="3"/>
        <v>0</v>
      </c>
      <c r="I17" s="36">
        <f t="shared" si="4"/>
        <v>2432.4138920134983</v>
      </c>
      <c r="J17" s="36">
        <f t="shared" si="5"/>
        <v>243.24138920134982</v>
      </c>
      <c r="K17" s="36">
        <f t="shared" si="6"/>
        <v>0</v>
      </c>
      <c r="L17" s="45">
        <f t="shared" si="7"/>
        <v>2675.6552812148479</v>
      </c>
    </row>
    <row r="18" spans="1:12" x14ac:dyDescent="0.25">
      <c r="A18" s="11">
        <v>8808</v>
      </c>
      <c r="B18" s="1">
        <v>372</v>
      </c>
      <c r="C18" s="1">
        <v>376</v>
      </c>
      <c r="D18" s="1">
        <v>381</v>
      </c>
      <c r="E18" s="50">
        <f t="shared" si="1"/>
        <v>9000</v>
      </c>
      <c r="F18" s="1">
        <f t="shared" si="0"/>
        <v>9000</v>
      </c>
      <c r="G18" s="1">
        <f t="shared" si="2"/>
        <v>0</v>
      </c>
      <c r="H18" s="1">
        <f t="shared" si="3"/>
        <v>0</v>
      </c>
      <c r="I18" s="36">
        <f t="shared" si="4"/>
        <v>1459.448335208099</v>
      </c>
      <c r="J18" s="36">
        <f t="shared" si="5"/>
        <v>0</v>
      </c>
      <c r="K18" s="36">
        <f t="shared" si="6"/>
        <v>0</v>
      </c>
      <c r="L18" s="45">
        <f t="shared" si="7"/>
        <v>1459.448335208099</v>
      </c>
    </row>
    <row r="19" spans="1:12" x14ac:dyDescent="0.25">
      <c r="A19" s="11">
        <v>1109</v>
      </c>
      <c r="B19" s="1">
        <v>946</v>
      </c>
      <c r="C19" s="1">
        <v>951</v>
      </c>
      <c r="D19" s="1">
        <v>957</v>
      </c>
      <c r="E19" s="50">
        <f t="shared" si="1"/>
        <v>11000</v>
      </c>
      <c r="F19" s="1">
        <f t="shared" si="0"/>
        <v>11000</v>
      </c>
      <c r="G19" s="1">
        <f t="shared" si="2"/>
        <v>0</v>
      </c>
      <c r="H19" s="1">
        <f t="shared" si="3"/>
        <v>0</v>
      </c>
      <c r="I19" s="36">
        <f t="shared" si="4"/>
        <v>1783.7701874765653</v>
      </c>
      <c r="J19" s="36">
        <f t="shared" si="5"/>
        <v>0</v>
      </c>
      <c r="K19" s="36">
        <f t="shared" si="6"/>
        <v>0</v>
      </c>
      <c r="L19" s="45">
        <f t="shared" si="7"/>
        <v>1783.7701874765653</v>
      </c>
    </row>
    <row r="20" spans="1:12" x14ac:dyDescent="0.25">
      <c r="A20" s="12">
        <v>2209</v>
      </c>
      <c r="B20" s="1">
        <v>145.27500000000001</v>
      </c>
      <c r="C20" s="1">
        <v>149.16800000000001</v>
      </c>
      <c r="D20" s="1">
        <v>164.64500000000001</v>
      </c>
      <c r="E20" s="50">
        <f t="shared" si="1"/>
        <v>19370.000000000004</v>
      </c>
      <c r="F20" s="1">
        <f t="shared" si="0"/>
        <v>15000</v>
      </c>
      <c r="G20" s="1">
        <f t="shared" si="2"/>
        <v>4370.0000000000036</v>
      </c>
      <c r="H20" s="1">
        <f t="shared" si="3"/>
        <v>0</v>
      </c>
      <c r="I20" s="36">
        <f t="shared" si="4"/>
        <v>2432.4138920134983</v>
      </c>
      <c r="J20" s="36">
        <f t="shared" si="5"/>
        <v>1062.9648708098996</v>
      </c>
      <c r="K20" s="36">
        <f t="shared" si="6"/>
        <v>0</v>
      </c>
      <c r="L20" s="45">
        <f t="shared" si="7"/>
        <v>3495.3787628233977</v>
      </c>
    </row>
    <row r="21" spans="1:12" x14ac:dyDescent="0.25">
      <c r="A21" s="11">
        <v>3309</v>
      </c>
      <c r="B21" s="1">
        <v>792</v>
      </c>
      <c r="C21" s="1">
        <v>797</v>
      </c>
      <c r="D21" s="1">
        <v>804</v>
      </c>
      <c r="E21" s="50">
        <f t="shared" si="1"/>
        <v>12000</v>
      </c>
      <c r="F21" s="1">
        <f t="shared" si="0"/>
        <v>12000</v>
      </c>
      <c r="G21" s="1">
        <f t="shared" si="2"/>
        <v>0</v>
      </c>
      <c r="H21" s="1">
        <f t="shared" si="3"/>
        <v>0</v>
      </c>
      <c r="I21" s="36">
        <f t="shared" si="4"/>
        <v>1945.9311136107985</v>
      </c>
      <c r="J21" s="36">
        <f t="shared" si="5"/>
        <v>0</v>
      </c>
      <c r="K21" s="36">
        <f t="shared" si="6"/>
        <v>0</v>
      </c>
      <c r="L21" s="45">
        <f t="shared" si="7"/>
        <v>1945.9311136107985</v>
      </c>
    </row>
    <row r="22" spans="1:12" x14ac:dyDescent="0.25">
      <c r="A22" s="11">
        <v>4409</v>
      </c>
      <c r="B22" s="1">
        <v>531</v>
      </c>
      <c r="C22" s="1">
        <v>534</v>
      </c>
      <c r="D22" s="1">
        <v>537</v>
      </c>
      <c r="E22" s="50">
        <f t="shared" si="1"/>
        <v>6000</v>
      </c>
      <c r="F22" s="1">
        <f t="shared" si="0"/>
        <v>6000</v>
      </c>
      <c r="G22" s="1">
        <f t="shared" si="2"/>
        <v>0</v>
      </c>
      <c r="H22" s="1">
        <f t="shared" si="3"/>
        <v>0</v>
      </c>
      <c r="I22" s="36">
        <f t="shared" si="4"/>
        <v>972.96555680539927</v>
      </c>
      <c r="J22" s="36">
        <f t="shared" si="5"/>
        <v>0</v>
      </c>
      <c r="K22" s="36">
        <f t="shared" si="6"/>
        <v>0</v>
      </c>
      <c r="L22" s="45">
        <f t="shared" si="7"/>
        <v>972.96555680539927</v>
      </c>
    </row>
    <row r="23" spans="1:12" x14ac:dyDescent="0.25">
      <c r="A23" s="11">
        <v>5509</v>
      </c>
      <c r="B23" s="1">
        <v>714</v>
      </c>
      <c r="C23" s="1">
        <v>718</v>
      </c>
      <c r="D23" s="1">
        <v>723</v>
      </c>
      <c r="E23" s="50">
        <f t="shared" si="1"/>
        <v>9000</v>
      </c>
      <c r="F23" s="1">
        <f t="shared" si="0"/>
        <v>9000</v>
      </c>
      <c r="G23" s="1">
        <f t="shared" si="2"/>
        <v>0</v>
      </c>
      <c r="H23" s="1">
        <f t="shared" si="3"/>
        <v>0</v>
      </c>
      <c r="I23" s="36">
        <f t="shared" si="4"/>
        <v>1459.448335208099</v>
      </c>
      <c r="J23" s="36">
        <f t="shared" si="5"/>
        <v>0</v>
      </c>
      <c r="K23" s="36">
        <f t="shared" si="6"/>
        <v>0</v>
      </c>
      <c r="L23" s="45">
        <f t="shared" si="7"/>
        <v>1459.448335208099</v>
      </c>
    </row>
    <row r="24" spans="1:12" x14ac:dyDescent="0.25">
      <c r="A24" s="11">
        <v>6609</v>
      </c>
      <c r="B24" s="1">
        <v>1100</v>
      </c>
      <c r="C24" s="1">
        <v>1108</v>
      </c>
      <c r="D24" s="1">
        <v>1118</v>
      </c>
      <c r="E24" s="50">
        <f t="shared" si="1"/>
        <v>18000</v>
      </c>
      <c r="F24" s="1">
        <f t="shared" si="0"/>
        <v>15000</v>
      </c>
      <c r="G24" s="1">
        <f t="shared" si="2"/>
        <v>3000</v>
      </c>
      <c r="H24" s="1">
        <f t="shared" si="3"/>
        <v>0</v>
      </c>
      <c r="I24" s="36">
        <f t="shared" si="4"/>
        <v>2432.4138920134983</v>
      </c>
      <c r="J24" s="36">
        <f t="shared" si="5"/>
        <v>729.72416760404951</v>
      </c>
      <c r="K24" s="36">
        <f t="shared" si="6"/>
        <v>0</v>
      </c>
      <c r="L24" s="45">
        <f t="shared" si="7"/>
        <v>3162.1380596175477</v>
      </c>
    </row>
    <row r="25" spans="1:12" x14ac:dyDescent="0.25">
      <c r="A25" s="12">
        <v>7709</v>
      </c>
      <c r="B25" s="1">
        <v>160.845</v>
      </c>
      <c r="C25" s="1">
        <v>164.95699999999999</v>
      </c>
      <c r="D25" s="1">
        <v>169.244</v>
      </c>
      <c r="E25" s="50">
        <f t="shared" si="1"/>
        <v>8399</v>
      </c>
      <c r="F25" s="1">
        <f t="shared" si="0"/>
        <v>8399</v>
      </c>
      <c r="G25" s="1">
        <f t="shared" si="2"/>
        <v>0</v>
      </c>
      <c r="H25" s="1">
        <f t="shared" si="3"/>
        <v>0</v>
      </c>
      <c r="I25" s="36">
        <f t="shared" si="4"/>
        <v>1361.9896186014248</v>
      </c>
      <c r="J25" s="36">
        <f t="shared" si="5"/>
        <v>0</v>
      </c>
      <c r="K25" s="36">
        <f t="shared" si="6"/>
        <v>0</v>
      </c>
      <c r="L25" s="45">
        <f t="shared" si="7"/>
        <v>1361.9896186014248</v>
      </c>
    </row>
    <row r="26" spans="1:12" x14ac:dyDescent="0.25">
      <c r="A26" s="11">
        <v>8809</v>
      </c>
      <c r="B26" s="1">
        <v>541</v>
      </c>
      <c r="C26" s="1">
        <v>546</v>
      </c>
      <c r="D26" s="1">
        <v>548</v>
      </c>
      <c r="E26" s="50">
        <f t="shared" si="1"/>
        <v>7000</v>
      </c>
      <c r="F26" s="1">
        <f t="shared" si="0"/>
        <v>7000</v>
      </c>
      <c r="G26" s="1">
        <f t="shared" si="2"/>
        <v>0</v>
      </c>
      <c r="H26" s="1">
        <f t="shared" si="3"/>
        <v>0</v>
      </c>
      <c r="I26" s="36">
        <f t="shared" si="4"/>
        <v>1135.1264829396325</v>
      </c>
      <c r="J26" s="36">
        <f t="shared" si="5"/>
        <v>0</v>
      </c>
      <c r="K26" s="36">
        <f t="shared" si="6"/>
        <v>0</v>
      </c>
      <c r="L26" s="45">
        <f t="shared" si="7"/>
        <v>1135.1264829396325</v>
      </c>
    </row>
    <row r="27" spans="1:12" x14ac:dyDescent="0.25">
      <c r="A27" s="11">
        <v>1110</v>
      </c>
      <c r="B27" s="1">
        <v>264</v>
      </c>
      <c r="C27" s="1">
        <v>266</v>
      </c>
      <c r="D27" s="1">
        <v>268</v>
      </c>
      <c r="E27" s="50">
        <f t="shared" si="1"/>
        <v>4000</v>
      </c>
      <c r="F27" s="1">
        <f t="shared" si="0"/>
        <v>4000</v>
      </c>
      <c r="G27" s="1">
        <f t="shared" si="2"/>
        <v>0</v>
      </c>
      <c r="H27" s="1">
        <f t="shared" si="3"/>
        <v>0</v>
      </c>
      <c r="I27" s="36">
        <f t="shared" si="4"/>
        <v>648.64370453693289</v>
      </c>
      <c r="J27" s="36">
        <f t="shared" si="5"/>
        <v>0</v>
      </c>
      <c r="K27" s="36">
        <f t="shared" si="6"/>
        <v>0</v>
      </c>
      <c r="L27" s="45">
        <f t="shared" si="7"/>
        <v>648.64370453693289</v>
      </c>
    </row>
    <row r="28" spans="1:12" x14ac:dyDescent="0.25">
      <c r="A28" s="11">
        <v>2210</v>
      </c>
      <c r="B28" s="1">
        <v>291</v>
      </c>
      <c r="C28" s="1">
        <v>295</v>
      </c>
      <c r="D28" s="1">
        <v>298</v>
      </c>
      <c r="E28" s="50">
        <f t="shared" si="1"/>
        <v>7000</v>
      </c>
      <c r="F28" s="1">
        <f t="shared" si="0"/>
        <v>7000</v>
      </c>
      <c r="G28" s="1">
        <f t="shared" si="2"/>
        <v>0</v>
      </c>
      <c r="H28" s="1">
        <f t="shared" si="3"/>
        <v>0</v>
      </c>
      <c r="I28" s="36">
        <f t="shared" si="4"/>
        <v>1135.1264829396325</v>
      </c>
      <c r="J28" s="36">
        <f t="shared" si="5"/>
        <v>0</v>
      </c>
      <c r="K28" s="36">
        <f t="shared" si="6"/>
        <v>0</v>
      </c>
      <c r="L28" s="45">
        <f t="shared" si="7"/>
        <v>1135.1264829396325</v>
      </c>
    </row>
    <row r="29" spans="1:12" x14ac:dyDescent="0.25">
      <c r="A29" s="11">
        <v>3310</v>
      </c>
      <c r="B29" s="1">
        <v>322</v>
      </c>
      <c r="C29" s="1">
        <v>325</v>
      </c>
      <c r="D29" s="1">
        <v>327</v>
      </c>
      <c r="E29" s="50">
        <f t="shared" si="1"/>
        <v>5000</v>
      </c>
      <c r="F29" s="1">
        <f t="shared" si="0"/>
        <v>5000</v>
      </c>
      <c r="G29" s="1">
        <f t="shared" si="2"/>
        <v>0</v>
      </c>
      <c r="H29" s="1">
        <f t="shared" si="3"/>
        <v>0</v>
      </c>
      <c r="I29" s="36">
        <f t="shared" si="4"/>
        <v>810.80463067116614</v>
      </c>
      <c r="J29" s="36">
        <f t="shared" si="5"/>
        <v>0</v>
      </c>
      <c r="K29" s="36">
        <f t="shared" si="6"/>
        <v>0</v>
      </c>
      <c r="L29" s="45">
        <f t="shared" si="7"/>
        <v>810.80463067116614</v>
      </c>
    </row>
    <row r="30" spans="1:12" x14ac:dyDescent="0.25">
      <c r="A30" s="11">
        <v>4410</v>
      </c>
      <c r="B30" s="1">
        <v>473</v>
      </c>
      <c r="C30" s="1">
        <v>476</v>
      </c>
      <c r="D30" s="1">
        <v>479</v>
      </c>
      <c r="E30" s="50">
        <f t="shared" si="1"/>
        <v>6000</v>
      </c>
      <c r="F30" s="1">
        <f t="shared" si="0"/>
        <v>6000</v>
      </c>
      <c r="G30" s="1">
        <f t="shared" si="2"/>
        <v>0</v>
      </c>
      <c r="H30" s="1">
        <f t="shared" si="3"/>
        <v>0</v>
      </c>
      <c r="I30" s="36">
        <f t="shared" si="4"/>
        <v>972.96555680539927</v>
      </c>
      <c r="J30" s="36">
        <f t="shared" si="5"/>
        <v>0</v>
      </c>
      <c r="K30" s="36">
        <f t="shared" si="6"/>
        <v>0</v>
      </c>
      <c r="L30" s="45">
        <f t="shared" si="7"/>
        <v>972.96555680539927</v>
      </c>
    </row>
    <row r="31" spans="1:12" x14ac:dyDescent="0.25">
      <c r="A31" s="11">
        <v>5510</v>
      </c>
      <c r="B31" s="1">
        <v>1036</v>
      </c>
      <c r="C31" s="1">
        <v>1046</v>
      </c>
      <c r="D31" s="1">
        <v>1057</v>
      </c>
      <c r="E31" s="50">
        <f t="shared" si="1"/>
        <v>21000</v>
      </c>
      <c r="F31" s="1">
        <f t="shared" si="0"/>
        <v>15000</v>
      </c>
      <c r="G31" s="1">
        <f t="shared" si="2"/>
        <v>5000</v>
      </c>
      <c r="H31" s="1">
        <f t="shared" si="3"/>
        <v>1000</v>
      </c>
      <c r="I31" s="36">
        <f t="shared" si="4"/>
        <v>2432.4138920134983</v>
      </c>
      <c r="J31" s="36">
        <f t="shared" si="5"/>
        <v>1216.2069460067491</v>
      </c>
      <c r="K31" s="36">
        <f t="shared" si="6"/>
        <v>324.32185226846644</v>
      </c>
      <c r="L31" s="45">
        <f t="shared" si="7"/>
        <v>3972.9426902887139</v>
      </c>
    </row>
    <row r="32" spans="1:12" x14ac:dyDescent="0.25">
      <c r="A32" s="11">
        <v>6610</v>
      </c>
      <c r="B32" s="1">
        <v>408</v>
      </c>
      <c r="C32" s="1">
        <v>412</v>
      </c>
      <c r="D32" s="1">
        <v>415</v>
      </c>
      <c r="E32" s="50">
        <f t="shared" si="1"/>
        <v>7000</v>
      </c>
      <c r="F32" s="1">
        <f t="shared" si="0"/>
        <v>7000</v>
      </c>
      <c r="G32" s="1">
        <f t="shared" si="2"/>
        <v>0</v>
      </c>
      <c r="H32" s="1">
        <f t="shared" si="3"/>
        <v>0</v>
      </c>
      <c r="I32" s="36">
        <f t="shared" si="4"/>
        <v>1135.1264829396325</v>
      </c>
      <c r="J32" s="36">
        <f t="shared" si="5"/>
        <v>0</v>
      </c>
      <c r="K32" s="36">
        <f t="shared" si="6"/>
        <v>0</v>
      </c>
      <c r="L32" s="45">
        <f t="shared" si="7"/>
        <v>1135.1264829396325</v>
      </c>
    </row>
    <row r="33" spans="1:12" x14ac:dyDescent="0.25">
      <c r="A33" s="11">
        <v>7710</v>
      </c>
      <c r="B33" s="1">
        <v>628</v>
      </c>
      <c r="C33" s="1">
        <v>632</v>
      </c>
      <c r="D33" s="1">
        <v>636</v>
      </c>
      <c r="E33" s="50">
        <f t="shared" si="1"/>
        <v>8000</v>
      </c>
      <c r="F33" s="1">
        <f t="shared" si="0"/>
        <v>8000</v>
      </c>
      <c r="G33" s="1">
        <f t="shared" si="2"/>
        <v>0</v>
      </c>
      <c r="H33" s="1">
        <f t="shared" si="3"/>
        <v>0</v>
      </c>
      <c r="I33" s="36">
        <f t="shared" si="4"/>
        <v>1297.2874090738658</v>
      </c>
      <c r="J33" s="36">
        <f t="shared" si="5"/>
        <v>0</v>
      </c>
      <c r="K33" s="36">
        <f t="shared" si="6"/>
        <v>0</v>
      </c>
      <c r="L33" s="45">
        <f t="shared" si="7"/>
        <v>1297.2874090738658</v>
      </c>
    </row>
    <row r="34" spans="1:12" x14ac:dyDescent="0.25">
      <c r="A34" s="11">
        <v>1111</v>
      </c>
      <c r="B34" s="1">
        <v>211</v>
      </c>
      <c r="C34" s="1">
        <v>211</v>
      </c>
      <c r="D34" s="1">
        <v>214</v>
      </c>
      <c r="E34" s="50">
        <f t="shared" si="1"/>
        <v>3000</v>
      </c>
      <c r="F34" s="1">
        <f t="shared" si="0"/>
        <v>3000</v>
      </c>
      <c r="G34" s="1">
        <f t="shared" si="2"/>
        <v>0</v>
      </c>
      <c r="H34" s="1">
        <f t="shared" si="3"/>
        <v>0</v>
      </c>
      <c r="I34" s="36">
        <f t="shared" si="4"/>
        <v>486.48277840269964</v>
      </c>
      <c r="J34" s="36">
        <f t="shared" si="5"/>
        <v>0</v>
      </c>
      <c r="K34" s="36">
        <f t="shared" si="6"/>
        <v>0</v>
      </c>
      <c r="L34" s="45">
        <f t="shared" si="7"/>
        <v>486.48277840269964</v>
      </c>
    </row>
    <row r="35" spans="1:12" x14ac:dyDescent="0.25">
      <c r="A35" s="11">
        <v>2211</v>
      </c>
      <c r="B35" s="1">
        <v>443</v>
      </c>
      <c r="C35" s="1">
        <v>448</v>
      </c>
      <c r="D35" s="1">
        <v>452</v>
      </c>
      <c r="E35" s="50">
        <f t="shared" si="1"/>
        <v>9000</v>
      </c>
      <c r="F35" s="1">
        <f t="shared" si="0"/>
        <v>9000</v>
      </c>
      <c r="G35" s="1">
        <f t="shared" si="2"/>
        <v>0</v>
      </c>
      <c r="H35" s="1">
        <f t="shared" si="3"/>
        <v>0</v>
      </c>
      <c r="I35" s="36">
        <f t="shared" si="4"/>
        <v>1459.448335208099</v>
      </c>
      <c r="J35" s="36">
        <f t="shared" si="5"/>
        <v>0</v>
      </c>
      <c r="K35" s="36">
        <f t="shared" si="6"/>
        <v>0</v>
      </c>
      <c r="L35" s="45">
        <f t="shared" si="7"/>
        <v>1459.448335208099</v>
      </c>
    </row>
    <row r="36" spans="1:12" x14ac:dyDescent="0.25">
      <c r="A36" s="11">
        <v>3311</v>
      </c>
      <c r="B36" s="1">
        <v>534</v>
      </c>
      <c r="C36" s="1">
        <v>536</v>
      </c>
      <c r="D36" s="1">
        <v>538</v>
      </c>
      <c r="E36" s="50">
        <f t="shared" si="1"/>
        <v>4000</v>
      </c>
      <c r="F36" s="1">
        <f t="shared" si="0"/>
        <v>4000</v>
      </c>
      <c r="G36" s="1">
        <f t="shared" si="2"/>
        <v>0</v>
      </c>
      <c r="H36" s="1">
        <f t="shared" si="3"/>
        <v>0</v>
      </c>
      <c r="I36" s="36">
        <f t="shared" si="4"/>
        <v>648.64370453693289</v>
      </c>
      <c r="J36" s="36">
        <f t="shared" si="5"/>
        <v>0</v>
      </c>
      <c r="K36" s="36">
        <f t="shared" si="6"/>
        <v>0</v>
      </c>
      <c r="L36" s="45">
        <f t="shared" si="7"/>
        <v>648.64370453693289</v>
      </c>
    </row>
    <row r="37" spans="1:12" x14ac:dyDescent="0.25">
      <c r="A37" s="11">
        <v>4411</v>
      </c>
      <c r="B37" s="1">
        <v>538</v>
      </c>
      <c r="C37" s="1">
        <v>541</v>
      </c>
      <c r="D37" s="1">
        <v>545</v>
      </c>
      <c r="E37" s="50">
        <f t="shared" si="1"/>
        <v>7000</v>
      </c>
      <c r="F37" s="1">
        <f t="shared" si="0"/>
        <v>7000</v>
      </c>
      <c r="G37" s="1">
        <f t="shared" si="2"/>
        <v>0</v>
      </c>
      <c r="H37" s="1">
        <f t="shared" si="3"/>
        <v>0</v>
      </c>
      <c r="I37" s="36">
        <f t="shared" si="4"/>
        <v>1135.1264829396325</v>
      </c>
      <c r="J37" s="36">
        <f t="shared" si="5"/>
        <v>0</v>
      </c>
      <c r="K37" s="36">
        <f t="shared" si="6"/>
        <v>0</v>
      </c>
      <c r="L37" s="45">
        <f t="shared" si="7"/>
        <v>1135.1264829396325</v>
      </c>
    </row>
    <row r="38" spans="1:12" x14ac:dyDescent="0.25">
      <c r="A38" s="11">
        <v>5511</v>
      </c>
      <c r="B38" s="1">
        <v>568</v>
      </c>
      <c r="C38" s="1">
        <v>571</v>
      </c>
      <c r="D38" s="1">
        <v>576</v>
      </c>
      <c r="E38" s="50">
        <f t="shared" si="1"/>
        <v>8000</v>
      </c>
      <c r="F38" s="1">
        <f t="shared" si="0"/>
        <v>8000</v>
      </c>
      <c r="G38" s="1">
        <f t="shared" si="2"/>
        <v>0</v>
      </c>
      <c r="H38" s="1">
        <f t="shared" si="3"/>
        <v>0</v>
      </c>
      <c r="I38" s="36">
        <f t="shared" si="4"/>
        <v>1297.2874090738658</v>
      </c>
      <c r="J38" s="36">
        <f t="shared" si="5"/>
        <v>0</v>
      </c>
      <c r="K38" s="36">
        <f t="shared" si="6"/>
        <v>0</v>
      </c>
      <c r="L38" s="45">
        <f t="shared" si="7"/>
        <v>1297.2874090738658</v>
      </c>
    </row>
    <row r="39" spans="1:12" x14ac:dyDescent="0.25">
      <c r="A39" s="11">
        <v>6611</v>
      </c>
      <c r="B39" s="1">
        <v>1097</v>
      </c>
      <c r="C39" s="1">
        <v>1101</v>
      </c>
      <c r="D39" s="1">
        <v>1102</v>
      </c>
      <c r="E39" s="50">
        <f t="shared" si="1"/>
        <v>5000</v>
      </c>
      <c r="F39" s="1">
        <f t="shared" si="0"/>
        <v>5000</v>
      </c>
      <c r="G39" s="1">
        <f t="shared" si="2"/>
        <v>0</v>
      </c>
      <c r="H39" s="1">
        <f t="shared" si="3"/>
        <v>0</v>
      </c>
      <c r="I39" s="36">
        <f t="shared" si="4"/>
        <v>810.80463067116614</v>
      </c>
      <c r="J39" s="36">
        <f t="shared" si="5"/>
        <v>0</v>
      </c>
      <c r="K39" s="36">
        <f t="shared" si="6"/>
        <v>0</v>
      </c>
      <c r="L39" s="45">
        <f t="shared" si="7"/>
        <v>810.80463067116614</v>
      </c>
    </row>
    <row r="40" spans="1:12" x14ac:dyDescent="0.25">
      <c r="A40" s="11">
        <v>7711</v>
      </c>
      <c r="B40" s="1">
        <v>540</v>
      </c>
      <c r="C40" s="1">
        <v>542</v>
      </c>
      <c r="D40" s="1">
        <v>546</v>
      </c>
      <c r="E40" s="50">
        <f t="shared" si="1"/>
        <v>6000</v>
      </c>
      <c r="F40" s="1">
        <f t="shared" si="0"/>
        <v>6000</v>
      </c>
      <c r="G40" s="1">
        <f t="shared" si="2"/>
        <v>0</v>
      </c>
      <c r="H40" s="1">
        <f t="shared" si="3"/>
        <v>0</v>
      </c>
      <c r="I40" s="36">
        <f t="shared" si="4"/>
        <v>972.96555680539927</v>
      </c>
      <c r="J40" s="36">
        <f t="shared" si="5"/>
        <v>0</v>
      </c>
      <c r="K40" s="36">
        <f t="shared" si="6"/>
        <v>0</v>
      </c>
      <c r="L40" s="45">
        <f t="shared" si="7"/>
        <v>972.96555680539927</v>
      </c>
    </row>
    <row r="41" spans="1:12" x14ac:dyDescent="0.25">
      <c r="A41" s="5" t="s">
        <v>8</v>
      </c>
      <c r="B41" s="1"/>
      <c r="C41" s="1"/>
      <c r="D41" s="1"/>
      <c r="E41" s="4">
        <f>SUM(E3:E40)</f>
        <v>357460</v>
      </c>
      <c r="F41" s="1"/>
      <c r="G41" s="1"/>
      <c r="H41" s="1"/>
      <c r="I41" s="1"/>
      <c r="J41" s="1"/>
      <c r="K41" s="1"/>
      <c r="L41" s="4">
        <f>SUM(L3:L40)</f>
        <v>60266.29739315711</v>
      </c>
    </row>
  </sheetData>
  <mergeCells count="1">
    <mergeCell ref="F1:G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0"/>
  <sheetViews>
    <sheetView workbookViewId="0"/>
  </sheetViews>
  <sheetFormatPr defaultRowHeight="15" x14ac:dyDescent="0.25"/>
  <cols>
    <col min="1" max="1" width="7.28515625" bestFit="1" customWidth="1"/>
    <col min="2" max="2" width="10.7109375" bestFit="1" customWidth="1"/>
    <col min="3" max="3" width="10.140625" customWidth="1"/>
    <col min="4" max="4" width="10.7109375" bestFit="1" customWidth="1"/>
    <col min="5" max="5" width="12.85546875" bestFit="1" customWidth="1"/>
    <col min="6" max="8" width="9.85546875" bestFit="1" customWidth="1"/>
    <col min="9" max="11" width="15" bestFit="1" customWidth="1"/>
    <col min="12" max="12" width="12" bestFit="1" customWidth="1"/>
  </cols>
  <sheetData>
    <row r="1" spans="1:12" x14ac:dyDescent="0.25">
      <c r="A1" s="1"/>
      <c r="B1" s="1"/>
      <c r="C1" s="1"/>
      <c r="D1" s="1"/>
      <c r="E1" s="1"/>
      <c r="F1" s="54" t="s">
        <v>31</v>
      </c>
      <c r="G1" s="54"/>
      <c r="H1" s="41"/>
      <c r="I1" s="42" t="s">
        <v>32</v>
      </c>
      <c r="J1" s="42" t="s">
        <v>33</v>
      </c>
      <c r="K1" s="42" t="s">
        <v>34</v>
      </c>
      <c r="L1" s="43">
        <f>summary!B25</f>
        <v>0.16216092613423322</v>
      </c>
    </row>
    <row r="2" spans="1:12" x14ac:dyDescent="0.25">
      <c r="A2" s="6" t="s">
        <v>6</v>
      </c>
      <c r="B2" s="18">
        <f>'A block'!B2</f>
        <v>45961</v>
      </c>
      <c r="C2" s="6" t="str">
        <f>'A block'!C2</f>
        <v>15.11.2025</v>
      </c>
      <c r="D2" s="18">
        <f>'A block'!D2</f>
        <v>45991</v>
      </c>
      <c r="E2" s="6" t="s">
        <v>7</v>
      </c>
      <c r="F2" s="41" t="s">
        <v>35</v>
      </c>
      <c r="G2" s="41" t="s">
        <v>36</v>
      </c>
      <c r="H2" s="41" t="s">
        <v>37</v>
      </c>
      <c r="I2" s="41" t="s">
        <v>38</v>
      </c>
      <c r="J2" s="41" t="s">
        <v>39</v>
      </c>
      <c r="K2" s="41" t="s">
        <v>40</v>
      </c>
      <c r="L2" s="44" t="s">
        <v>41</v>
      </c>
    </row>
    <row r="3" spans="1:12" x14ac:dyDescent="0.25">
      <c r="A3" s="11">
        <v>1112</v>
      </c>
      <c r="B3" s="1">
        <v>573</v>
      </c>
      <c r="C3" s="2">
        <v>574</v>
      </c>
      <c r="D3" s="1">
        <v>578</v>
      </c>
      <c r="E3" s="1">
        <f>SUM(D3-B3)*1000</f>
        <v>5000</v>
      </c>
      <c r="F3" s="1">
        <f t="shared" ref="F3:F39" si="0">IF(E3 &gt; 15000, 15000, E3)</f>
        <v>5000</v>
      </c>
      <c r="G3" s="1">
        <f>IF(E3 &gt; 20000, 5000, IF(E3 &gt; 15000, (E3-15000), 0))</f>
        <v>0</v>
      </c>
      <c r="H3" s="1">
        <f>IF(E3&gt;20000,E3-20000,0)</f>
        <v>0</v>
      </c>
      <c r="I3" s="36">
        <f>F3*$L$1</f>
        <v>810.80463067116614</v>
      </c>
      <c r="J3" s="36">
        <f>G3*($L$1 *1.5)</f>
        <v>0</v>
      </c>
      <c r="K3" s="36">
        <f>H3*($L$1 *2)</f>
        <v>0</v>
      </c>
      <c r="L3" s="45">
        <f>SUM(I3:K3)</f>
        <v>810.80463067116614</v>
      </c>
    </row>
    <row r="4" spans="1:12" x14ac:dyDescent="0.25">
      <c r="A4" s="12">
        <v>2212</v>
      </c>
      <c r="B4" s="1">
        <v>116.782</v>
      </c>
      <c r="C4" s="7">
        <v>120.01300000000001</v>
      </c>
      <c r="D4" s="1">
        <v>124.735</v>
      </c>
      <c r="E4" s="1">
        <f t="shared" ref="E4:E39" si="1">SUM(D4-B4)*1000</f>
        <v>7953.0000000000027</v>
      </c>
      <c r="F4" s="1">
        <f t="shared" si="0"/>
        <v>7953.0000000000027</v>
      </c>
      <c r="G4" s="1">
        <f t="shared" ref="G4:G39" si="2">IF(E4 &gt; 20000, 5000, IF(E4 &gt; 15000, (E4-15000), 0))</f>
        <v>0</v>
      </c>
      <c r="H4" s="1">
        <f t="shared" ref="H4:H39" si="3">IF(E4&gt;20000,E4-20000,0)</f>
        <v>0</v>
      </c>
      <c r="I4" s="36">
        <f t="shared" ref="I4:I39" si="4">F4*$L$1</f>
        <v>1289.6658455455572</v>
      </c>
      <c r="J4" s="36">
        <f t="shared" ref="J4:J39" si="5">G4*($L$1 *1.5)</f>
        <v>0</v>
      </c>
      <c r="K4" s="36">
        <f t="shared" ref="K4:K39" si="6">H4*($L$1 *2)</f>
        <v>0</v>
      </c>
      <c r="L4" s="45">
        <f t="shared" ref="L4:L39" si="7">SUM(I4:K4)</f>
        <v>1289.6658455455572</v>
      </c>
    </row>
    <row r="5" spans="1:12" x14ac:dyDescent="0.25">
      <c r="A5" s="11">
        <v>3312</v>
      </c>
      <c r="B5" s="1">
        <v>793</v>
      </c>
      <c r="C5" s="2">
        <v>799</v>
      </c>
      <c r="D5" s="1">
        <v>806</v>
      </c>
      <c r="E5" s="1">
        <f t="shared" si="1"/>
        <v>13000</v>
      </c>
      <c r="F5" s="1">
        <f t="shared" si="0"/>
        <v>13000</v>
      </c>
      <c r="G5" s="1">
        <f t="shared" si="2"/>
        <v>0</v>
      </c>
      <c r="H5" s="1">
        <f t="shared" si="3"/>
        <v>0</v>
      </c>
      <c r="I5" s="36">
        <f t="shared" si="4"/>
        <v>2108.0920397450318</v>
      </c>
      <c r="J5" s="36">
        <f t="shared" si="5"/>
        <v>0</v>
      </c>
      <c r="K5" s="36">
        <f t="shared" si="6"/>
        <v>0</v>
      </c>
      <c r="L5" s="45">
        <f t="shared" si="7"/>
        <v>2108.0920397450318</v>
      </c>
    </row>
    <row r="6" spans="1:12" x14ac:dyDescent="0.25">
      <c r="A6" s="11">
        <v>4412</v>
      </c>
      <c r="B6" s="1">
        <v>492</v>
      </c>
      <c r="C6" s="2">
        <v>496</v>
      </c>
      <c r="D6" s="1">
        <v>501</v>
      </c>
      <c r="E6" s="1">
        <f t="shared" si="1"/>
        <v>9000</v>
      </c>
      <c r="F6" s="1">
        <f t="shared" si="0"/>
        <v>9000</v>
      </c>
      <c r="G6" s="1">
        <f t="shared" si="2"/>
        <v>0</v>
      </c>
      <c r="H6" s="1">
        <f t="shared" si="3"/>
        <v>0</v>
      </c>
      <c r="I6" s="36">
        <f t="shared" si="4"/>
        <v>1459.448335208099</v>
      </c>
      <c r="J6" s="36">
        <f t="shared" si="5"/>
        <v>0</v>
      </c>
      <c r="K6" s="36">
        <f t="shared" si="6"/>
        <v>0</v>
      </c>
      <c r="L6" s="45">
        <f t="shared" si="7"/>
        <v>1459.448335208099</v>
      </c>
    </row>
    <row r="7" spans="1:12" x14ac:dyDescent="0.25">
      <c r="A7" s="11">
        <v>5512</v>
      </c>
      <c r="B7" s="1">
        <v>439</v>
      </c>
      <c r="C7" s="2">
        <v>444</v>
      </c>
      <c r="D7" s="1">
        <v>449</v>
      </c>
      <c r="E7" s="1">
        <f t="shared" si="1"/>
        <v>10000</v>
      </c>
      <c r="F7" s="1">
        <f t="shared" si="0"/>
        <v>10000</v>
      </c>
      <c r="G7" s="1">
        <f t="shared" si="2"/>
        <v>0</v>
      </c>
      <c r="H7" s="1">
        <f t="shared" si="3"/>
        <v>0</v>
      </c>
      <c r="I7" s="36">
        <f t="shared" si="4"/>
        <v>1621.6092613423323</v>
      </c>
      <c r="J7" s="36">
        <f t="shared" si="5"/>
        <v>0</v>
      </c>
      <c r="K7" s="36">
        <f t="shared" si="6"/>
        <v>0</v>
      </c>
      <c r="L7" s="45">
        <f t="shared" si="7"/>
        <v>1621.6092613423323</v>
      </c>
    </row>
    <row r="8" spans="1:12" x14ac:dyDescent="0.25">
      <c r="A8" s="11">
        <v>6612</v>
      </c>
      <c r="B8" s="1">
        <v>596</v>
      </c>
      <c r="C8" s="2">
        <v>600</v>
      </c>
      <c r="D8" s="1">
        <v>605</v>
      </c>
      <c r="E8" s="1">
        <f t="shared" si="1"/>
        <v>9000</v>
      </c>
      <c r="F8" s="1">
        <f t="shared" si="0"/>
        <v>9000</v>
      </c>
      <c r="G8" s="1">
        <f t="shared" si="2"/>
        <v>0</v>
      </c>
      <c r="H8" s="1">
        <f t="shared" si="3"/>
        <v>0</v>
      </c>
      <c r="I8" s="36">
        <f t="shared" si="4"/>
        <v>1459.448335208099</v>
      </c>
      <c r="J8" s="36">
        <f t="shared" si="5"/>
        <v>0</v>
      </c>
      <c r="K8" s="36">
        <f t="shared" si="6"/>
        <v>0</v>
      </c>
      <c r="L8" s="45">
        <f t="shared" si="7"/>
        <v>1459.448335208099</v>
      </c>
    </row>
    <row r="9" spans="1:12" x14ac:dyDescent="0.25">
      <c r="A9" s="11">
        <v>7712</v>
      </c>
      <c r="B9" s="1">
        <v>907</v>
      </c>
      <c r="C9" s="2">
        <v>913</v>
      </c>
      <c r="D9" s="1">
        <v>919</v>
      </c>
      <c r="E9" s="1">
        <f t="shared" si="1"/>
        <v>12000</v>
      </c>
      <c r="F9" s="1">
        <f t="shared" si="0"/>
        <v>12000</v>
      </c>
      <c r="G9" s="1">
        <f t="shared" si="2"/>
        <v>0</v>
      </c>
      <c r="H9" s="1">
        <f t="shared" si="3"/>
        <v>0</v>
      </c>
      <c r="I9" s="36">
        <f t="shared" si="4"/>
        <v>1945.9311136107985</v>
      </c>
      <c r="J9" s="36">
        <f t="shared" si="5"/>
        <v>0</v>
      </c>
      <c r="K9" s="36">
        <f t="shared" si="6"/>
        <v>0</v>
      </c>
      <c r="L9" s="45">
        <f t="shared" si="7"/>
        <v>1945.9311136107985</v>
      </c>
    </row>
    <row r="10" spans="1:12" x14ac:dyDescent="0.25">
      <c r="A10" s="11">
        <v>1113</v>
      </c>
      <c r="B10" s="1">
        <v>1093</v>
      </c>
      <c r="C10" s="2">
        <v>1099</v>
      </c>
      <c r="D10" s="1">
        <v>1106</v>
      </c>
      <c r="E10" s="1">
        <f t="shared" si="1"/>
        <v>13000</v>
      </c>
      <c r="F10" s="1">
        <f t="shared" si="0"/>
        <v>13000</v>
      </c>
      <c r="G10" s="1">
        <f t="shared" si="2"/>
        <v>0</v>
      </c>
      <c r="H10" s="1">
        <f t="shared" si="3"/>
        <v>0</v>
      </c>
      <c r="I10" s="36">
        <f t="shared" si="4"/>
        <v>2108.0920397450318</v>
      </c>
      <c r="J10" s="36">
        <f t="shared" si="5"/>
        <v>0</v>
      </c>
      <c r="K10" s="36">
        <f t="shared" si="6"/>
        <v>0</v>
      </c>
      <c r="L10" s="45">
        <f t="shared" si="7"/>
        <v>2108.0920397450318</v>
      </c>
    </row>
    <row r="11" spans="1:12" x14ac:dyDescent="0.25">
      <c r="A11" s="11">
        <v>2213</v>
      </c>
      <c r="B11" s="1">
        <v>597</v>
      </c>
      <c r="C11" s="2">
        <v>602</v>
      </c>
      <c r="D11" s="1">
        <v>607</v>
      </c>
      <c r="E11" s="1">
        <f t="shared" si="1"/>
        <v>10000</v>
      </c>
      <c r="F11" s="1">
        <f t="shared" si="0"/>
        <v>10000</v>
      </c>
      <c r="G11" s="1">
        <f t="shared" si="2"/>
        <v>0</v>
      </c>
      <c r="H11" s="1">
        <f t="shared" si="3"/>
        <v>0</v>
      </c>
      <c r="I11" s="36">
        <f t="shared" si="4"/>
        <v>1621.6092613423323</v>
      </c>
      <c r="J11" s="36">
        <f t="shared" si="5"/>
        <v>0</v>
      </c>
      <c r="K11" s="36">
        <f t="shared" si="6"/>
        <v>0</v>
      </c>
      <c r="L11" s="45">
        <f t="shared" si="7"/>
        <v>1621.6092613423323</v>
      </c>
    </row>
    <row r="12" spans="1:12" x14ac:dyDescent="0.25">
      <c r="A12" s="11">
        <v>3313</v>
      </c>
      <c r="B12" s="1">
        <v>458</v>
      </c>
      <c r="C12" s="2">
        <v>459</v>
      </c>
      <c r="D12" s="1">
        <v>462</v>
      </c>
      <c r="E12" s="1">
        <f t="shared" si="1"/>
        <v>4000</v>
      </c>
      <c r="F12" s="1">
        <f t="shared" si="0"/>
        <v>4000</v>
      </c>
      <c r="G12" s="1">
        <f t="shared" si="2"/>
        <v>0</v>
      </c>
      <c r="H12" s="1">
        <f t="shared" si="3"/>
        <v>0</v>
      </c>
      <c r="I12" s="36">
        <f t="shared" si="4"/>
        <v>648.64370453693289</v>
      </c>
      <c r="J12" s="36">
        <f t="shared" si="5"/>
        <v>0</v>
      </c>
      <c r="K12" s="36">
        <f t="shared" si="6"/>
        <v>0</v>
      </c>
      <c r="L12" s="45">
        <f t="shared" si="7"/>
        <v>648.64370453693289</v>
      </c>
    </row>
    <row r="13" spans="1:12" x14ac:dyDescent="0.25">
      <c r="A13" s="11">
        <v>4413</v>
      </c>
      <c r="B13" s="1">
        <v>765</v>
      </c>
      <c r="C13" s="2">
        <v>775</v>
      </c>
      <c r="D13" s="1">
        <v>787</v>
      </c>
      <c r="E13" s="1">
        <f t="shared" si="1"/>
        <v>22000</v>
      </c>
      <c r="F13" s="1">
        <f t="shared" si="0"/>
        <v>15000</v>
      </c>
      <c r="G13" s="1">
        <f t="shared" si="2"/>
        <v>5000</v>
      </c>
      <c r="H13" s="1">
        <f t="shared" si="3"/>
        <v>2000</v>
      </c>
      <c r="I13" s="36">
        <f t="shared" si="4"/>
        <v>2432.4138920134983</v>
      </c>
      <c r="J13" s="36">
        <f t="shared" si="5"/>
        <v>1216.2069460067491</v>
      </c>
      <c r="K13" s="36">
        <f t="shared" si="6"/>
        <v>648.64370453693289</v>
      </c>
      <c r="L13" s="45">
        <f t="shared" si="7"/>
        <v>4297.26454255718</v>
      </c>
    </row>
    <row r="14" spans="1:12" x14ac:dyDescent="0.25">
      <c r="A14" s="11">
        <v>5513</v>
      </c>
      <c r="B14" s="1">
        <v>356</v>
      </c>
      <c r="C14" s="2">
        <v>356</v>
      </c>
      <c r="D14" s="1">
        <v>356</v>
      </c>
      <c r="E14" s="1">
        <f t="shared" si="1"/>
        <v>0</v>
      </c>
      <c r="F14" s="1">
        <f t="shared" si="0"/>
        <v>0</v>
      </c>
      <c r="G14" s="1">
        <f t="shared" si="2"/>
        <v>0</v>
      </c>
      <c r="H14" s="1">
        <f t="shared" si="3"/>
        <v>0</v>
      </c>
      <c r="I14" s="36">
        <f t="shared" si="4"/>
        <v>0</v>
      </c>
      <c r="J14" s="36">
        <f t="shared" si="5"/>
        <v>0</v>
      </c>
      <c r="K14" s="36">
        <f t="shared" si="6"/>
        <v>0</v>
      </c>
      <c r="L14" s="45">
        <f t="shared" si="7"/>
        <v>0</v>
      </c>
    </row>
    <row r="15" spans="1:12" x14ac:dyDescent="0.25">
      <c r="A15" s="11">
        <v>6613</v>
      </c>
      <c r="B15" s="1">
        <v>434</v>
      </c>
      <c r="C15" s="2">
        <v>438</v>
      </c>
      <c r="D15" s="1">
        <v>441</v>
      </c>
      <c r="E15" s="1">
        <f t="shared" si="1"/>
        <v>7000</v>
      </c>
      <c r="F15" s="1">
        <f t="shared" si="0"/>
        <v>7000</v>
      </c>
      <c r="G15" s="1">
        <f t="shared" si="2"/>
        <v>0</v>
      </c>
      <c r="H15" s="1">
        <f t="shared" si="3"/>
        <v>0</v>
      </c>
      <c r="I15" s="36">
        <f t="shared" si="4"/>
        <v>1135.1264829396325</v>
      </c>
      <c r="J15" s="36">
        <f t="shared" si="5"/>
        <v>0</v>
      </c>
      <c r="K15" s="36">
        <f t="shared" si="6"/>
        <v>0</v>
      </c>
      <c r="L15" s="45">
        <f t="shared" si="7"/>
        <v>1135.1264829396325</v>
      </c>
    </row>
    <row r="16" spans="1:12" x14ac:dyDescent="0.25">
      <c r="A16" s="11">
        <v>7713</v>
      </c>
      <c r="B16" s="1">
        <v>1005</v>
      </c>
      <c r="C16" s="2">
        <v>1011</v>
      </c>
      <c r="D16" s="1">
        <v>1018</v>
      </c>
      <c r="E16" s="1">
        <f t="shared" si="1"/>
        <v>13000</v>
      </c>
      <c r="F16" s="1">
        <f t="shared" si="0"/>
        <v>13000</v>
      </c>
      <c r="G16" s="1">
        <f t="shared" si="2"/>
        <v>0</v>
      </c>
      <c r="H16" s="1">
        <f t="shared" si="3"/>
        <v>0</v>
      </c>
      <c r="I16" s="36">
        <f t="shared" si="4"/>
        <v>2108.0920397450318</v>
      </c>
      <c r="J16" s="36">
        <f t="shared" si="5"/>
        <v>0</v>
      </c>
      <c r="K16" s="36">
        <f t="shared" si="6"/>
        <v>0</v>
      </c>
      <c r="L16" s="45">
        <f t="shared" si="7"/>
        <v>2108.0920397450318</v>
      </c>
    </row>
    <row r="17" spans="1:12" x14ac:dyDescent="0.25">
      <c r="A17" s="11">
        <v>1114</v>
      </c>
      <c r="B17" s="1">
        <v>1350</v>
      </c>
      <c r="C17" s="2">
        <v>1361</v>
      </c>
      <c r="D17" s="1">
        <v>1367</v>
      </c>
      <c r="E17" s="1">
        <f t="shared" si="1"/>
        <v>17000</v>
      </c>
      <c r="F17" s="1">
        <f t="shared" si="0"/>
        <v>15000</v>
      </c>
      <c r="G17" s="1">
        <f t="shared" si="2"/>
        <v>2000</v>
      </c>
      <c r="H17" s="1">
        <f t="shared" si="3"/>
        <v>0</v>
      </c>
      <c r="I17" s="36">
        <f t="shared" si="4"/>
        <v>2432.4138920134983</v>
      </c>
      <c r="J17" s="36">
        <f t="shared" si="5"/>
        <v>486.48277840269964</v>
      </c>
      <c r="K17" s="36">
        <f t="shared" si="6"/>
        <v>0</v>
      </c>
      <c r="L17" s="45">
        <f t="shared" si="7"/>
        <v>2918.896670416198</v>
      </c>
    </row>
    <row r="18" spans="1:12" x14ac:dyDescent="0.25">
      <c r="A18" s="11">
        <v>2214</v>
      </c>
      <c r="B18" s="1">
        <v>606</v>
      </c>
      <c r="C18" s="2">
        <v>610</v>
      </c>
      <c r="D18" s="1">
        <v>616</v>
      </c>
      <c r="E18" s="1">
        <f t="shared" si="1"/>
        <v>10000</v>
      </c>
      <c r="F18" s="1">
        <f t="shared" si="0"/>
        <v>10000</v>
      </c>
      <c r="G18" s="1">
        <f t="shared" si="2"/>
        <v>0</v>
      </c>
      <c r="H18" s="1">
        <f t="shared" si="3"/>
        <v>0</v>
      </c>
      <c r="I18" s="36">
        <f t="shared" si="4"/>
        <v>1621.6092613423323</v>
      </c>
      <c r="J18" s="36">
        <f t="shared" si="5"/>
        <v>0</v>
      </c>
      <c r="K18" s="36">
        <f t="shared" si="6"/>
        <v>0</v>
      </c>
      <c r="L18" s="45">
        <f t="shared" si="7"/>
        <v>1621.6092613423323</v>
      </c>
    </row>
    <row r="19" spans="1:12" x14ac:dyDescent="0.25">
      <c r="A19" s="11">
        <v>3314</v>
      </c>
      <c r="B19" s="1">
        <v>659</v>
      </c>
      <c r="C19" s="2">
        <v>665</v>
      </c>
      <c r="D19" s="1">
        <v>671</v>
      </c>
      <c r="E19" s="1">
        <f t="shared" si="1"/>
        <v>12000</v>
      </c>
      <c r="F19" s="1">
        <f t="shared" si="0"/>
        <v>12000</v>
      </c>
      <c r="G19" s="1">
        <f t="shared" si="2"/>
        <v>0</v>
      </c>
      <c r="H19" s="1">
        <f t="shared" si="3"/>
        <v>0</v>
      </c>
      <c r="I19" s="36">
        <f t="shared" si="4"/>
        <v>1945.9311136107985</v>
      </c>
      <c r="J19" s="36">
        <f t="shared" si="5"/>
        <v>0</v>
      </c>
      <c r="K19" s="36">
        <f t="shared" si="6"/>
        <v>0</v>
      </c>
      <c r="L19" s="45">
        <f t="shared" si="7"/>
        <v>1945.9311136107985</v>
      </c>
    </row>
    <row r="20" spans="1:12" x14ac:dyDescent="0.25">
      <c r="A20" s="2">
        <v>4414</v>
      </c>
      <c r="B20" s="1">
        <v>359</v>
      </c>
      <c r="C20" s="2">
        <v>364</v>
      </c>
      <c r="D20" s="1">
        <v>369</v>
      </c>
      <c r="E20" s="1">
        <f t="shared" si="1"/>
        <v>10000</v>
      </c>
      <c r="F20" s="1">
        <f t="shared" si="0"/>
        <v>10000</v>
      </c>
      <c r="G20" s="1">
        <f t="shared" si="2"/>
        <v>0</v>
      </c>
      <c r="H20" s="1">
        <f t="shared" si="3"/>
        <v>0</v>
      </c>
      <c r="I20" s="36">
        <f t="shared" si="4"/>
        <v>1621.6092613423323</v>
      </c>
      <c r="J20" s="36">
        <f t="shared" si="5"/>
        <v>0</v>
      </c>
      <c r="K20" s="36">
        <f t="shared" si="6"/>
        <v>0</v>
      </c>
      <c r="L20" s="45">
        <f t="shared" si="7"/>
        <v>1621.6092613423323</v>
      </c>
    </row>
    <row r="21" spans="1:12" x14ac:dyDescent="0.25">
      <c r="A21" s="11">
        <v>5514</v>
      </c>
      <c r="B21" s="1">
        <v>615</v>
      </c>
      <c r="C21" s="2">
        <v>621</v>
      </c>
      <c r="D21" s="1">
        <v>628</v>
      </c>
      <c r="E21" s="1">
        <f t="shared" si="1"/>
        <v>13000</v>
      </c>
      <c r="F21" s="1">
        <f t="shared" si="0"/>
        <v>13000</v>
      </c>
      <c r="G21" s="1">
        <f t="shared" si="2"/>
        <v>0</v>
      </c>
      <c r="H21" s="1">
        <f t="shared" si="3"/>
        <v>0</v>
      </c>
      <c r="I21" s="36">
        <f t="shared" si="4"/>
        <v>2108.0920397450318</v>
      </c>
      <c r="J21" s="36">
        <f t="shared" si="5"/>
        <v>0</v>
      </c>
      <c r="K21" s="36">
        <f t="shared" si="6"/>
        <v>0</v>
      </c>
      <c r="L21" s="45">
        <f t="shared" si="7"/>
        <v>2108.0920397450318</v>
      </c>
    </row>
    <row r="22" spans="1:12" x14ac:dyDescent="0.25">
      <c r="A22" s="11">
        <v>6614</v>
      </c>
      <c r="B22" s="1">
        <v>333</v>
      </c>
      <c r="C22" s="2">
        <v>339</v>
      </c>
      <c r="D22" s="1">
        <v>348</v>
      </c>
      <c r="E22" s="1">
        <f t="shared" si="1"/>
        <v>15000</v>
      </c>
      <c r="F22" s="1">
        <f t="shared" si="0"/>
        <v>15000</v>
      </c>
      <c r="G22" s="1">
        <f t="shared" si="2"/>
        <v>0</v>
      </c>
      <c r="H22" s="1">
        <f t="shared" si="3"/>
        <v>0</v>
      </c>
      <c r="I22" s="36">
        <f t="shared" si="4"/>
        <v>2432.4138920134983</v>
      </c>
      <c r="J22" s="36">
        <f t="shared" si="5"/>
        <v>0</v>
      </c>
      <c r="K22" s="36">
        <f t="shared" si="6"/>
        <v>0</v>
      </c>
      <c r="L22" s="45">
        <f t="shared" si="7"/>
        <v>2432.4138920134983</v>
      </c>
    </row>
    <row r="23" spans="1:12" x14ac:dyDescent="0.25">
      <c r="A23" s="11">
        <v>7714</v>
      </c>
      <c r="B23" s="1">
        <v>307</v>
      </c>
      <c r="C23" s="2">
        <v>307</v>
      </c>
      <c r="D23" s="1">
        <v>308</v>
      </c>
      <c r="E23" s="1">
        <f t="shared" si="1"/>
        <v>1000</v>
      </c>
      <c r="F23" s="1">
        <f t="shared" si="0"/>
        <v>1000</v>
      </c>
      <c r="G23" s="1">
        <f t="shared" si="2"/>
        <v>0</v>
      </c>
      <c r="H23" s="1">
        <f t="shared" si="3"/>
        <v>0</v>
      </c>
      <c r="I23" s="36">
        <f t="shared" si="4"/>
        <v>162.16092613423322</v>
      </c>
      <c r="J23" s="36">
        <f t="shared" si="5"/>
        <v>0</v>
      </c>
      <c r="K23" s="36">
        <f t="shared" si="6"/>
        <v>0</v>
      </c>
      <c r="L23" s="45">
        <f t="shared" si="7"/>
        <v>162.16092613423322</v>
      </c>
    </row>
    <row r="24" spans="1:12" x14ac:dyDescent="0.25">
      <c r="A24" s="11">
        <v>8814</v>
      </c>
      <c r="B24" s="1">
        <v>473</v>
      </c>
      <c r="C24" s="2">
        <v>476</v>
      </c>
      <c r="D24" s="1">
        <v>480</v>
      </c>
      <c r="E24" s="1">
        <f t="shared" si="1"/>
        <v>7000</v>
      </c>
      <c r="F24" s="1">
        <f t="shared" si="0"/>
        <v>7000</v>
      </c>
      <c r="G24" s="1">
        <f t="shared" si="2"/>
        <v>0</v>
      </c>
      <c r="H24" s="1">
        <f t="shared" si="3"/>
        <v>0</v>
      </c>
      <c r="I24" s="36">
        <f t="shared" si="4"/>
        <v>1135.1264829396325</v>
      </c>
      <c r="J24" s="36">
        <f t="shared" si="5"/>
        <v>0</v>
      </c>
      <c r="K24" s="36">
        <f t="shared" si="6"/>
        <v>0</v>
      </c>
      <c r="L24" s="45">
        <f t="shared" si="7"/>
        <v>1135.1264829396325</v>
      </c>
    </row>
    <row r="25" spans="1:12" x14ac:dyDescent="0.25">
      <c r="A25" s="11">
        <v>1115</v>
      </c>
      <c r="B25" s="1">
        <v>815</v>
      </c>
      <c r="C25" s="2">
        <v>823</v>
      </c>
      <c r="D25" s="1">
        <v>832</v>
      </c>
      <c r="E25" s="1">
        <f t="shared" si="1"/>
        <v>17000</v>
      </c>
      <c r="F25" s="1">
        <f t="shared" si="0"/>
        <v>15000</v>
      </c>
      <c r="G25" s="1">
        <f t="shared" si="2"/>
        <v>2000</v>
      </c>
      <c r="H25" s="1">
        <f t="shared" si="3"/>
        <v>0</v>
      </c>
      <c r="I25" s="36">
        <f t="shared" si="4"/>
        <v>2432.4138920134983</v>
      </c>
      <c r="J25" s="36">
        <f t="shared" si="5"/>
        <v>486.48277840269964</v>
      </c>
      <c r="K25" s="36">
        <f t="shared" si="6"/>
        <v>0</v>
      </c>
      <c r="L25" s="45">
        <f t="shared" si="7"/>
        <v>2918.896670416198</v>
      </c>
    </row>
    <row r="26" spans="1:12" x14ac:dyDescent="0.25">
      <c r="A26" s="12">
        <v>2215</v>
      </c>
      <c r="B26" s="1">
        <v>137.21899999999999</v>
      </c>
      <c r="C26" s="7">
        <v>141.53299999999999</v>
      </c>
      <c r="D26" s="1">
        <v>146.16499999999999</v>
      </c>
      <c r="E26" s="1">
        <f t="shared" si="1"/>
        <v>8945.9999999999982</v>
      </c>
      <c r="F26" s="1">
        <f t="shared" si="0"/>
        <v>8945.9999999999982</v>
      </c>
      <c r="G26" s="1">
        <f t="shared" si="2"/>
        <v>0</v>
      </c>
      <c r="H26" s="1">
        <f t="shared" si="3"/>
        <v>0</v>
      </c>
      <c r="I26" s="36">
        <f t="shared" si="4"/>
        <v>1450.69164519685</v>
      </c>
      <c r="J26" s="36">
        <f t="shared" si="5"/>
        <v>0</v>
      </c>
      <c r="K26" s="36">
        <f t="shared" si="6"/>
        <v>0</v>
      </c>
      <c r="L26" s="45">
        <f t="shared" si="7"/>
        <v>1450.69164519685</v>
      </c>
    </row>
    <row r="27" spans="1:12" x14ac:dyDescent="0.25">
      <c r="A27" s="11">
        <v>3315</v>
      </c>
      <c r="B27" s="1">
        <v>908</v>
      </c>
      <c r="C27" s="2">
        <v>914</v>
      </c>
      <c r="D27" s="1">
        <v>914</v>
      </c>
      <c r="E27" s="1">
        <f t="shared" si="1"/>
        <v>6000</v>
      </c>
      <c r="F27" s="1">
        <f t="shared" si="0"/>
        <v>6000</v>
      </c>
      <c r="G27" s="1">
        <f t="shared" si="2"/>
        <v>0</v>
      </c>
      <c r="H27" s="1">
        <f t="shared" si="3"/>
        <v>0</v>
      </c>
      <c r="I27" s="36">
        <f t="shared" si="4"/>
        <v>972.96555680539927</v>
      </c>
      <c r="J27" s="36">
        <f t="shared" si="5"/>
        <v>0</v>
      </c>
      <c r="K27" s="36">
        <f t="shared" si="6"/>
        <v>0</v>
      </c>
      <c r="L27" s="45">
        <f t="shared" si="7"/>
        <v>972.96555680539927</v>
      </c>
    </row>
    <row r="28" spans="1:12" x14ac:dyDescent="0.25">
      <c r="A28" s="11">
        <v>4415</v>
      </c>
      <c r="B28" s="1">
        <v>656</v>
      </c>
      <c r="C28" s="2">
        <v>659</v>
      </c>
      <c r="D28" s="1">
        <v>664</v>
      </c>
      <c r="E28" s="1">
        <f t="shared" si="1"/>
        <v>8000</v>
      </c>
      <c r="F28" s="1">
        <f t="shared" si="0"/>
        <v>8000</v>
      </c>
      <c r="G28" s="1">
        <f t="shared" si="2"/>
        <v>0</v>
      </c>
      <c r="H28" s="1">
        <f t="shared" si="3"/>
        <v>0</v>
      </c>
      <c r="I28" s="36">
        <f t="shared" si="4"/>
        <v>1297.2874090738658</v>
      </c>
      <c r="J28" s="36">
        <f t="shared" si="5"/>
        <v>0</v>
      </c>
      <c r="K28" s="36">
        <f t="shared" si="6"/>
        <v>0</v>
      </c>
      <c r="L28" s="45">
        <f t="shared" si="7"/>
        <v>1297.2874090738658</v>
      </c>
    </row>
    <row r="29" spans="1:12" x14ac:dyDescent="0.25">
      <c r="A29" s="11">
        <v>5515</v>
      </c>
      <c r="B29" s="1">
        <v>793</v>
      </c>
      <c r="C29" s="2">
        <v>796</v>
      </c>
      <c r="D29" s="1">
        <v>800</v>
      </c>
      <c r="E29" s="1">
        <f t="shared" si="1"/>
        <v>7000</v>
      </c>
      <c r="F29" s="1">
        <f t="shared" si="0"/>
        <v>7000</v>
      </c>
      <c r="G29" s="1">
        <f t="shared" si="2"/>
        <v>0</v>
      </c>
      <c r="H29" s="1">
        <f t="shared" si="3"/>
        <v>0</v>
      </c>
      <c r="I29" s="36">
        <f t="shared" si="4"/>
        <v>1135.1264829396325</v>
      </c>
      <c r="J29" s="36">
        <f t="shared" si="5"/>
        <v>0</v>
      </c>
      <c r="K29" s="36">
        <f t="shared" si="6"/>
        <v>0</v>
      </c>
      <c r="L29" s="45">
        <f t="shared" si="7"/>
        <v>1135.1264829396325</v>
      </c>
    </row>
    <row r="30" spans="1:12" x14ac:dyDescent="0.25">
      <c r="A30" s="11">
        <v>6615</v>
      </c>
      <c r="B30" s="1">
        <v>662</v>
      </c>
      <c r="C30" s="2">
        <v>665</v>
      </c>
      <c r="D30" s="1">
        <v>668</v>
      </c>
      <c r="E30" s="1">
        <f t="shared" si="1"/>
        <v>6000</v>
      </c>
      <c r="F30" s="1">
        <f t="shared" si="0"/>
        <v>6000</v>
      </c>
      <c r="G30" s="1">
        <f t="shared" si="2"/>
        <v>0</v>
      </c>
      <c r="H30" s="1">
        <f t="shared" si="3"/>
        <v>0</v>
      </c>
      <c r="I30" s="36">
        <f t="shared" si="4"/>
        <v>972.96555680539927</v>
      </c>
      <c r="J30" s="36">
        <f t="shared" si="5"/>
        <v>0</v>
      </c>
      <c r="K30" s="36">
        <f t="shared" si="6"/>
        <v>0</v>
      </c>
      <c r="L30" s="45">
        <f t="shared" si="7"/>
        <v>972.96555680539927</v>
      </c>
    </row>
    <row r="31" spans="1:12" x14ac:dyDescent="0.25">
      <c r="A31" s="11">
        <v>7715</v>
      </c>
      <c r="B31" s="1">
        <v>399</v>
      </c>
      <c r="C31" s="2">
        <v>401</v>
      </c>
      <c r="D31" s="1">
        <v>404</v>
      </c>
      <c r="E31" s="1">
        <f t="shared" si="1"/>
        <v>5000</v>
      </c>
      <c r="F31" s="1">
        <f t="shared" si="0"/>
        <v>5000</v>
      </c>
      <c r="G31" s="1">
        <f t="shared" si="2"/>
        <v>0</v>
      </c>
      <c r="H31" s="1">
        <f t="shared" si="3"/>
        <v>0</v>
      </c>
      <c r="I31" s="36">
        <f t="shared" si="4"/>
        <v>810.80463067116614</v>
      </c>
      <c r="J31" s="36">
        <f t="shared" si="5"/>
        <v>0</v>
      </c>
      <c r="K31" s="36">
        <f t="shared" si="6"/>
        <v>0</v>
      </c>
      <c r="L31" s="45">
        <f t="shared" si="7"/>
        <v>810.80463067116614</v>
      </c>
    </row>
    <row r="32" spans="1:12" x14ac:dyDescent="0.25">
      <c r="A32" s="11">
        <v>8815</v>
      </c>
      <c r="B32" s="1">
        <v>584</v>
      </c>
      <c r="C32" s="2">
        <v>589</v>
      </c>
      <c r="D32" s="1">
        <v>592</v>
      </c>
      <c r="E32" s="1">
        <f t="shared" si="1"/>
        <v>8000</v>
      </c>
      <c r="F32" s="1">
        <f t="shared" si="0"/>
        <v>8000</v>
      </c>
      <c r="G32" s="1">
        <f t="shared" si="2"/>
        <v>0</v>
      </c>
      <c r="H32" s="1">
        <f t="shared" si="3"/>
        <v>0</v>
      </c>
      <c r="I32" s="36">
        <f t="shared" si="4"/>
        <v>1297.2874090738658</v>
      </c>
      <c r="J32" s="36">
        <f t="shared" si="5"/>
        <v>0</v>
      </c>
      <c r="K32" s="36">
        <f t="shared" si="6"/>
        <v>0</v>
      </c>
      <c r="L32" s="45">
        <f t="shared" si="7"/>
        <v>1297.2874090738658</v>
      </c>
    </row>
    <row r="33" spans="1:12" x14ac:dyDescent="0.25">
      <c r="A33" s="11">
        <v>1116</v>
      </c>
      <c r="B33" s="1">
        <v>359</v>
      </c>
      <c r="C33" s="2">
        <v>359</v>
      </c>
      <c r="D33" s="1">
        <v>359</v>
      </c>
      <c r="E33" s="1">
        <f t="shared" si="1"/>
        <v>0</v>
      </c>
      <c r="F33" s="1">
        <f t="shared" si="0"/>
        <v>0</v>
      </c>
      <c r="G33" s="1">
        <f t="shared" si="2"/>
        <v>0</v>
      </c>
      <c r="H33" s="1">
        <f t="shared" si="3"/>
        <v>0</v>
      </c>
      <c r="I33" s="36">
        <f t="shared" si="4"/>
        <v>0</v>
      </c>
      <c r="J33" s="36">
        <f t="shared" si="5"/>
        <v>0</v>
      </c>
      <c r="K33" s="36">
        <f t="shared" si="6"/>
        <v>0</v>
      </c>
      <c r="L33" s="45">
        <f t="shared" si="7"/>
        <v>0</v>
      </c>
    </row>
    <row r="34" spans="1:12" x14ac:dyDescent="0.25">
      <c r="A34" s="11">
        <v>2216</v>
      </c>
      <c r="B34" s="1">
        <v>273</v>
      </c>
      <c r="C34" s="2">
        <v>275</v>
      </c>
      <c r="D34" s="1">
        <v>278</v>
      </c>
      <c r="E34" s="1">
        <f t="shared" si="1"/>
        <v>5000</v>
      </c>
      <c r="F34" s="1">
        <f t="shared" si="0"/>
        <v>5000</v>
      </c>
      <c r="G34" s="1">
        <f t="shared" si="2"/>
        <v>0</v>
      </c>
      <c r="H34" s="1">
        <f t="shared" si="3"/>
        <v>0</v>
      </c>
      <c r="I34" s="36">
        <f t="shared" si="4"/>
        <v>810.80463067116614</v>
      </c>
      <c r="J34" s="36">
        <f t="shared" si="5"/>
        <v>0</v>
      </c>
      <c r="K34" s="36">
        <f t="shared" si="6"/>
        <v>0</v>
      </c>
      <c r="L34" s="45">
        <f t="shared" si="7"/>
        <v>810.80463067116614</v>
      </c>
    </row>
    <row r="35" spans="1:12" x14ac:dyDescent="0.25">
      <c r="A35" s="11">
        <v>3316</v>
      </c>
      <c r="B35" s="1">
        <v>616</v>
      </c>
      <c r="C35" s="2">
        <v>621</v>
      </c>
      <c r="D35" s="1">
        <v>627</v>
      </c>
      <c r="E35" s="1">
        <f t="shared" si="1"/>
        <v>11000</v>
      </c>
      <c r="F35" s="1">
        <f t="shared" si="0"/>
        <v>11000</v>
      </c>
      <c r="G35" s="1">
        <f t="shared" si="2"/>
        <v>0</v>
      </c>
      <c r="H35" s="1">
        <f t="shared" si="3"/>
        <v>0</v>
      </c>
      <c r="I35" s="36">
        <f t="shared" si="4"/>
        <v>1783.7701874765653</v>
      </c>
      <c r="J35" s="36">
        <f t="shared" si="5"/>
        <v>0</v>
      </c>
      <c r="K35" s="36">
        <f t="shared" si="6"/>
        <v>0</v>
      </c>
      <c r="L35" s="45">
        <f t="shared" si="7"/>
        <v>1783.7701874765653</v>
      </c>
    </row>
    <row r="36" spans="1:12" x14ac:dyDescent="0.25">
      <c r="A36" s="11">
        <v>4416</v>
      </c>
      <c r="B36" s="1">
        <v>254</v>
      </c>
      <c r="C36" s="2">
        <v>258</v>
      </c>
      <c r="D36" s="1">
        <v>263</v>
      </c>
      <c r="E36" s="1">
        <f t="shared" si="1"/>
        <v>9000</v>
      </c>
      <c r="F36" s="1">
        <f t="shared" si="0"/>
        <v>9000</v>
      </c>
      <c r="G36" s="1">
        <f t="shared" si="2"/>
        <v>0</v>
      </c>
      <c r="H36" s="1">
        <f t="shared" si="3"/>
        <v>0</v>
      </c>
      <c r="I36" s="36">
        <f t="shared" si="4"/>
        <v>1459.448335208099</v>
      </c>
      <c r="J36" s="36">
        <f t="shared" si="5"/>
        <v>0</v>
      </c>
      <c r="K36" s="36">
        <f t="shared" si="6"/>
        <v>0</v>
      </c>
      <c r="L36" s="45">
        <f t="shared" si="7"/>
        <v>1459.448335208099</v>
      </c>
    </row>
    <row r="37" spans="1:12" x14ac:dyDescent="0.25">
      <c r="A37" s="11">
        <v>5516</v>
      </c>
      <c r="B37" s="1">
        <v>462</v>
      </c>
      <c r="C37" s="2">
        <v>465</v>
      </c>
      <c r="D37" s="1">
        <v>471</v>
      </c>
      <c r="E37" s="1">
        <f t="shared" si="1"/>
        <v>9000</v>
      </c>
      <c r="F37" s="1">
        <f t="shared" si="0"/>
        <v>9000</v>
      </c>
      <c r="G37" s="1">
        <f t="shared" si="2"/>
        <v>0</v>
      </c>
      <c r="H37" s="1">
        <f t="shared" si="3"/>
        <v>0</v>
      </c>
      <c r="I37" s="36">
        <f t="shared" si="4"/>
        <v>1459.448335208099</v>
      </c>
      <c r="J37" s="36">
        <f t="shared" si="5"/>
        <v>0</v>
      </c>
      <c r="K37" s="36">
        <f t="shared" si="6"/>
        <v>0</v>
      </c>
      <c r="L37" s="45">
        <f t="shared" si="7"/>
        <v>1459.448335208099</v>
      </c>
    </row>
    <row r="38" spans="1:12" x14ac:dyDescent="0.25">
      <c r="A38" s="11">
        <v>6616</v>
      </c>
      <c r="B38" s="1">
        <v>354</v>
      </c>
      <c r="C38" s="2">
        <v>359</v>
      </c>
      <c r="D38" s="1">
        <v>364</v>
      </c>
      <c r="E38" s="1">
        <f t="shared" si="1"/>
        <v>10000</v>
      </c>
      <c r="F38" s="1">
        <f t="shared" si="0"/>
        <v>10000</v>
      </c>
      <c r="G38" s="1">
        <f t="shared" si="2"/>
        <v>0</v>
      </c>
      <c r="H38" s="1">
        <f t="shared" si="3"/>
        <v>0</v>
      </c>
      <c r="I38" s="36">
        <f t="shared" si="4"/>
        <v>1621.6092613423323</v>
      </c>
      <c r="J38" s="36">
        <f t="shared" si="5"/>
        <v>0</v>
      </c>
      <c r="K38" s="36">
        <f t="shared" si="6"/>
        <v>0</v>
      </c>
      <c r="L38" s="45">
        <f t="shared" si="7"/>
        <v>1621.6092613423323</v>
      </c>
    </row>
    <row r="39" spans="1:12" x14ac:dyDescent="0.25">
      <c r="A39" s="11">
        <v>7716</v>
      </c>
      <c r="B39" s="1">
        <v>626</v>
      </c>
      <c r="C39" s="2">
        <v>632</v>
      </c>
      <c r="D39" s="1">
        <v>639</v>
      </c>
      <c r="E39" s="1">
        <f t="shared" si="1"/>
        <v>13000</v>
      </c>
      <c r="F39" s="1">
        <f t="shared" si="0"/>
        <v>13000</v>
      </c>
      <c r="G39" s="1">
        <f t="shared" si="2"/>
        <v>0</v>
      </c>
      <c r="H39" s="1">
        <f t="shared" si="3"/>
        <v>0</v>
      </c>
      <c r="I39" s="36">
        <f t="shared" si="4"/>
        <v>2108.0920397450318</v>
      </c>
      <c r="J39" s="36">
        <f t="shared" si="5"/>
        <v>0</v>
      </c>
      <c r="K39" s="36">
        <f t="shared" si="6"/>
        <v>0</v>
      </c>
      <c r="L39" s="45">
        <f t="shared" si="7"/>
        <v>2108.0920397450318</v>
      </c>
    </row>
    <row r="40" spans="1:12" x14ac:dyDescent="0.25">
      <c r="A40" s="11" t="s">
        <v>8</v>
      </c>
      <c r="B40" s="1"/>
      <c r="C40" s="2"/>
      <c r="D40" s="1"/>
      <c r="E40" s="4">
        <f>SUM(E3:E39)</f>
        <v>342899</v>
      </c>
      <c r="F40" s="1"/>
      <c r="G40" s="1"/>
      <c r="H40" s="1"/>
      <c r="I40" s="1"/>
      <c r="J40" s="1"/>
      <c r="K40" s="1"/>
      <c r="L40" s="4">
        <f>SUM(L3:L39)</f>
        <v>56658.86543037495</v>
      </c>
    </row>
  </sheetData>
  <mergeCells count="1">
    <mergeCell ref="F1:G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61"/>
  <sheetViews>
    <sheetView workbookViewId="0"/>
  </sheetViews>
  <sheetFormatPr defaultRowHeight="15" x14ac:dyDescent="0.25"/>
  <cols>
    <col min="1" max="1" width="7.28515625" bestFit="1" customWidth="1"/>
    <col min="2" max="2" width="10.140625" bestFit="1" customWidth="1"/>
    <col min="3" max="3" width="10.140625" customWidth="1"/>
    <col min="4" max="4" width="10.7109375" bestFit="1" customWidth="1"/>
    <col min="5" max="5" width="12.85546875" bestFit="1" customWidth="1"/>
    <col min="6" max="8" width="9.85546875" bestFit="1" customWidth="1"/>
    <col min="9" max="11" width="15" bestFit="1" customWidth="1"/>
    <col min="12" max="12" width="12" bestFit="1" customWidth="1"/>
  </cols>
  <sheetData>
    <row r="1" spans="1:12" x14ac:dyDescent="0.25">
      <c r="F1" s="54" t="s">
        <v>31</v>
      </c>
      <c r="G1" s="54"/>
      <c r="H1" s="41"/>
      <c r="I1" s="42" t="s">
        <v>32</v>
      </c>
      <c r="J1" s="42" t="s">
        <v>33</v>
      </c>
      <c r="K1" s="42" t="s">
        <v>34</v>
      </c>
      <c r="L1" s="43">
        <f>summary!B25</f>
        <v>0.16216092613423322</v>
      </c>
    </row>
    <row r="2" spans="1:12" x14ac:dyDescent="0.25">
      <c r="A2" s="6" t="s">
        <v>6</v>
      </c>
      <c r="B2" s="18">
        <f>'A block'!B2</f>
        <v>45961</v>
      </c>
      <c r="C2" s="6" t="str">
        <f>'A block'!C2</f>
        <v>15.11.2025</v>
      </c>
      <c r="D2" s="18">
        <f>'A block'!D2</f>
        <v>45991</v>
      </c>
      <c r="E2" s="6" t="s">
        <v>7</v>
      </c>
      <c r="F2" s="41" t="s">
        <v>35</v>
      </c>
      <c r="G2" s="41" t="s">
        <v>36</v>
      </c>
      <c r="H2" s="41" t="s">
        <v>37</v>
      </c>
      <c r="I2" s="41" t="s">
        <v>38</v>
      </c>
      <c r="J2" s="41" t="s">
        <v>39</v>
      </c>
      <c r="K2" s="41" t="s">
        <v>40</v>
      </c>
      <c r="L2" s="44" t="s">
        <v>41</v>
      </c>
    </row>
    <row r="3" spans="1:12" x14ac:dyDescent="0.25">
      <c r="A3" s="11">
        <v>1117</v>
      </c>
      <c r="B3" s="1">
        <v>458</v>
      </c>
      <c r="C3" s="2">
        <v>460</v>
      </c>
      <c r="D3" s="1">
        <v>462</v>
      </c>
      <c r="E3" s="1">
        <f>SUM(D3-B3)*1000</f>
        <v>4000</v>
      </c>
      <c r="F3" s="1">
        <f t="shared" ref="F3:F60" si="0">IF(E3 &gt; 15000, 15000, E3)</f>
        <v>4000</v>
      </c>
      <c r="G3" s="1">
        <f>IF(E3 &gt; 20000, 5000, IF(E3 &gt; 15000, (E3-15000), 0))</f>
        <v>0</v>
      </c>
      <c r="H3" s="1">
        <f>IF(E3&gt;20000,E3-20000,0)</f>
        <v>0</v>
      </c>
      <c r="I3" s="36">
        <f>F3*$L$1</f>
        <v>648.64370453693289</v>
      </c>
      <c r="J3" s="36">
        <f>G3*($L$1 *1.5)</f>
        <v>0</v>
      </c>
      <c r="K3" s="36">
        <f>H3*($L$1 *2)</f>
        <v>0</v>
      </c>
      <c r="L3" s="45">
        <f>SUM(I3:K3)</f>
        <v>648.64370453693289</v>
      </c>
    </row>
    <row r="4" spans="1:12" x14ac:dyDescent="0.25">
      <c r="A4" s="11">
        <v>2217</v>
      </c>
      <c r="B4" s="1">
        <v>439</v>
      </c>
      <c r="C4" s="2">
        <v>440</v>
      </c>
      <c r="D4" s="1">
        <v>444</v>
      </c>
      <c r="E4" s="1">
        <f t="shared" ref="E4:E60" si="1">SUM(D4-B4)*1000</f>
        <v>5000</v>
      </c>
      <c r="F4" s="1">
        <f t="shared" si="0"/>
        <v>5000</v>
      </c>
      <c r="G4" s="1">
        <f t="shared" ref="G4:G60" si="2">IF(E4 &gt; 20000, 5000, IF(E4 &gt; 15000, (E4-15000), 0))</f>
        <v>0</v>
      </c>
      <c r="H4" s="1">
        <f t="shared" ref="H4:H60" si="3">IF(E4&gt;20000,E4-20000,0)</f>
        <v>0</v>
      </c>
      <c r="I4" s="36">
        <f t="shared" ref="I4:I60" si="4">F4*$L$1</f>
        <v>810.80463067116614</v>
      </c>
      <c r="J4" s="36">
        <f t="shared" ref="J4:J60" si="5">G4*($L$1 *1.5)</f>
        <v>0</v>
      </c>
      <c r="K4" s="36">
        <f t="shared" ref="K4:K60" si="6">H4*($L$1 *2)</f>
        <v>0</v>
      </c>
      <c r="L4" s="45">
        <f t="shared" ref="L4:L60" si="7">SUM(I4:K4)</f>
        <v>810.80463067116614</v>
      </c>
    </row>
    <row r="5" spans="1:12" x14ac:dyDescent="0.25">
      <c r="A5" s="11">
        <v>3317</v>
      </c>
      <c r="B5" s="1">
        <v>301</v>
      </c>
      <c r="C5" s="2">
        <v>305</v>
      </c>
      <c r="D5" s="1">
        <v>311</v>
      </c>
      <c r="E5" s="1">
        <f t="shared" si="1"/>
        <v>10000</v>
      </c>
      <c r="F5" s="1">
        <f t="shared" si="0"/>
        <v>10000</v>
      </c>
      <c r="G5" s="1">
        <f t="shared" si="2"/>
        <v>0</v>
      </c>
      <c r="H5" s="1">
        <f t="shared" si="3"/>
        <v>0</v>
      </c>
      <c r="I5" s="36">
        <f t="shared" si="4"/>
        <v>1621.6092613423323</v>
      </c>
      <c r="J5" s="36">
        <f t="shared" si="5"/>
        <v>0</v>
      </c>
      <c r="K5" s="36">
        <f t="shared" si="6"/>
        <v>0</v>
      </c>
      <c r="L5" s="45">
        <f t="shared" si="7"/>
        <v>1621.6092613423323</v>
      </c>
    </row>
    <row r="6" spans="1:12" x14ac:dyDescent="0.25">
      <c r="A6" s="11">
        <v>4417</v>
      </c>
      <c r="B6" s="1">
        <v>599</v>
      </c>
      <c r="C6" s="2">
        <v>608</v>
      </c>
      <c r="D6" s="1">
        <v>619</v>
      </c>
      <c r="E6" s="1">
        <f t="shared" si="1"/>
        <v>20000</v>
      </c>
      <c r="F6" s="1">
        <f t="shared" si="0"/>
        <v>15000</v>
      </c>
      <c r="G6" s="1">
        <f t="shared" si="2"/>
        <v>5000</v>
      </c>
      <c r="H6" s="1">
        <f t="shared" si="3"/>
        <v>0</v>
      </c>
      <c r="I6" s="36">
        <f t="shared" si="4"/>
        <v>2432.4138920134983</v>
      </c>
      <c r="J6" s="36">
        <f t="shared" si="5"/>
        <v>1216.2069460067491</v>
      </c>
      <c r="K6" s="36">
        <f t="shared" si="6"/>
        <v>0</v>
      </c>
      <c r="L6" s="45">
        <f t="shared" si="7"/>
        <v>3648.6208380202474</v>
      </c>
    </row>
    <row r="7" spans="1:12" x14ac:dyDescent="0.25">
      <c r="A7" s="12">
        <v>5517</v>
      </c>
      <c r="B7" s="1">
        <v>138.06399999999999</v>
      </c>
      <c r="C7" s="7">
        <v>139.792</v>
      </c>
      <c r="D7" s="1">
        <v>141.19</v>
      </c>
      <c r="E7" s="1">
        <f t="shared" si="1"/>
        <v>3126.0000000000045</v>
      </c>
      <c r="F7" s="1">
        <f t="shared" si="0"/>
        <v>3126.0000000000045</v>
      </c>
      <c r="G7" s="1">
        <f t="shared" si="2"/>
        <v>0</v>
      </c>
      <c r="H7" s="1">
        <f t="shared" si="3"/>
        <v>0</v>
      </c>
      <c r="I7" s="36">
        <f t="shared" si="4"/>
        <v>506.91505509561375</v>
      </c>
      <c r="J7" s="36">
        <f t="shared" si="5"/>
        <v>0</v>
      </c>
      <c r="K7" s="36">
        <f t="shared" si="6"/>
        <v>0</v>
      </c>
      <c r="L7" s="45">
        <f t="shared" si="7"/>
        <v>506.91505509561375</v>
      </c>
    </row>
    <row r="8" spans="1:12" x14ac:dyDescent="0.25">
      <c r="A8" s="11">
        <v>6617</v>
      </c>
      <c r="B8" s="1">
        <v>514</v>
      </c>
      <c r="C8" s="2">
        <v>515</v>
      </c>
      <c r="D8" s="1">
        <v>519</v>
      </c>
      <c r="E8" s="1">
        <f t="shared" si="1"/>
        <v>5000</v>
      </c>
      <c r="F8" s="1">
        <f t="shared" si="0"/>
        <v>5000</v>
      </c>
      <c r="G8" s="1">
        <f t="shared" si="2"/>
        <v>0</v>
      </c>
      <c r="H8" s="1">
        <f t="shared" si="3"/>
        <v>0</v>
      </c>
      <c r="I8" s="36">
        <f t="shared" si="4"/>
        <v>810.80463067116614</v>
      </c>
      <c r="J8" s="36">
        <f t="shared" si="5"/>
        <v>0</v>
      </c>
      <c r="K8" s="36">
        <f t="shared" si="6"/>
        <v>0</v>
      </c>
      <c r="L8" s="45">
        <f t="shared" si="7"/>
        <v>810.80463067116614</v>
      </c>
    </row>
    <row r="9" spans="1:12" x14ac:dyDescent="0.25">
      <c r="A9" s="11">
        <v>7717</v>
      </c>
      <c r="B9" s="1">
        <v>814</v>
      </c>
      <c r="C9" s="2">
        <v>820</v>
      </c>
      <c r="D9" s="1">
        <v>827</v>
      </c>
      <c r="E9" s="1">
        <f t="shared" si="1"/>
        <v>13000</v>
      </c>
      <c r="F9" s="1">
        <f t="shared" si="0"/>
        <v>13000</v>
      </c>
      <c r="G9" s="1">
        <f t="shared" si="2"/>
        <v>0</v>
      </c>
      <c r="H9" s="1">
        <f t="shared" si="3"/>
        <v>0</v>
      </c>
      <c r="I9" s="36">
        <f t="shared" si="4"/>
        <v>2108.0920397450318</v>
      </c>
      <c r="J9" s="36">
        <f t="shared" si="5"/>
        <v>0</v>
      </c>
      <c r="K9" s="36">
        <f t="shared" si="6"/>
        <v>0</v>
      </c>
      <c r="L9" s="45">
        <f t="shared" si="7"/>
        <v>2108.0920397450318</v>
      </c>
    </row>
    <row r="10" spans="1:12" x14ac:dyDescent="0.25">
      <c r="A10" s="11">
        <v>1118</v>
      </c>
      <c r="B10" s="1">
        <v>549</v>
      </c>
      <c r="C10" s="2">
        <v>553</v>
      </c>
      <c r="D10" s="1">
        <v>557</v>
      </c>
      <c r="E10" s="1">
        <f t="shared" si="1"/>
        <v>8000</v>
      </c>
      <c r="F10" s="1">
        <f t="shared" si="0"/>
        <v>8000</v>
      </c>
      <c r="G10" s="1">
        <f t="shared" si="2"/>
        <v>0</v>
      </c>
      <c r="H10" s="1">
        <f t="shared" si="3"/>
        <v>0</v>
      </c>
      <c r="I10" s="36">
        <f t="shared" si="4"/>
        <v>1297.2874090738658</v>
      </c>
      <c r="J10" s="36">
        <f t="shared" si="5"/>
        <v>0</v>
      </c>
      <c r="K10" s="36">
        <f t="shared" si="6"/>
        <v>0</v>
      </c>
      <c r="L10" s="45">
        <f t="shared" si="7"/>
        <v>1297.2874090738658</v>
      </c>
    </row>
    <row r="11" spans="1:12" x14ac:dyDescent="0.25">
      <c r="A11" s="11">
        <v>2218</v>
      </c>
      <c r="B11" s="1">
        <v>255</v>
      </c>
      <c r="C11" s="2">
        <v>258</v>
      </c>
      <c r="D11" s="1">
        <v>261</v>
      </c>
      <c r="E11" s="1">
        <f t="shared" si="1"/>
        <v>6000</v>
      </c>
      <c r="F11" s="1">
        <f t="shared" si="0"/>
        <v>6000</v>
      </c>
      <c r="G11" s="1">
        <f t="shared" si="2"/>
        <v>0</v>
      </c>
      <c r="H11" s="1">
        <f t="shared" si="3"/>
        <v>0</v>
      </c>
      <c r="I11" s="36">
        <f t="shared" si="4"/>
        <v>972.96555680539927</v>
      </c>
      <c r="J11" s="36">
        <f t="shared" si="5"/>
        <v>0</v>
      </c>
      <c r="K11" s="36">
        <f t="shared" si="6"/>
        <v>0</v>
      </c>
      <c r="L11" s="45">
        <f t="shared" si="7"/>
        <v>972.96555680539927</v>
      </c>
    </row>
    <row r="12" spans="1:12" x14ac:dyDescent="0.25">
      <c r="A12" s="11">
        <v>3318</v>
      </c>
      <c r="B12" s="1">
        <v>173</v>
      </c>
      <c r="C12" s="2">
        <v>175</v>
      </c>
      <c r="D12" s="1">
        <v>176</v>
      </c>
      <c r="E12" s="1">
        <f t="shared" si="1"/>
        <v>3000</v>
      </c>
      <c r="F12" s="1">
        <f t="shared" si="0"/>
        <v>3000</v>
      </c>
      <c r="G12" s="1">
        <f t="shared" si="2"/>
        <v>0</v>
      </c>
      <c r="H12" s="1">
        <f t="shared" si="3"/>
        <v>0</v>
      </c>
      <c r="I12" s="36">
        <f t="shared" si="4"/>
        <v>486.48277840269964</v>
      </c>
      <c r="J12" s="36">
        <f t="shared" si="5"/>
        <v>0</v>
      </c>
      <c r="K12" s="36">
        <f t="shared" si="6"/>
        <v>0</v>
      </c>
      <c r="L12" s="45">
        <f t="shared" si="7"/>
        <v>486.48277840269964</v>
      </c>
    </row>
    <row r="13" spans="1:12" x14ac:dyDescent="0.25">
      <c r="A13" s="11">
        <v>4418</v>
      </c>
      <c r="B13" s="1">
        <v>349</v>
      </c>
      <c r="C13" s="2">
        <v>357</v>
      </c>
      <c r="D13" s="1">
        <v>365</v>
      </c>
      <c r="E13" s="1">
        <f t="shared" si="1"/>
        <v>16000</v>
      </c>
      <c r="F13" s="1">
        <f t="shared" si="0"/>
        <v>15000</v>
      </c>
      <c r="G13" s="1">
        <f t="shared" si="2"/>
        <v>1000</v>
      </c>
      <c r="H13" s="1">
        <f t="shared" si="3"/>
        <v>0</v>
      </c>
      <c r="I13" s="36">
        <f t="shared" si="4"/>
        <v>2432.4138920134983</v>
      </c>
      <c r="J13" s="36">
        <f t="shared" si="5"/>
        <v>243.24138920134982</v>
      </c>
      <c r="K13" s="36">
        <f t="shared" si="6"/>
        <v>0</v>
      </c>
      <c r="L13" s="45">
        <f t="shared" si="7"/>
        <v>2675.6552812148479</v>
      </c>
    </row>
    <row r="14" spans="1:12" x14ac:dyDescent="0.25">
      <c r="A14" s="11">
        <v>5518</v>
      </c>
      <c r="B14" s="1">
        <v>382</v>
      </c>
      <c r="C14" s="2">
        <v>385</v>
      </c>
      <c r="D14" s="1">
        <v>389</v>
      </c>
      <c r="E14" s="1">
        <f t="shared" si="1"/>
        <v>7000</v>
      </c>
      <c r="F14" s="1">
        <f t="shared" si="0"/>
        <v>7000</v>
      </c>
      <c r="G14" s="1">
        <f t="shared" si="2"/>
        <v>0</v>
      </c>
      <c r="H14" s="1">
        <f t="shared" si="3"/>
        <v>0</v>
      </c>
      <c r="I14" s="36">
        <f t="shared" si="4"/>
        <v>1135.1264829396325</v>
      </c>
      <c r="J14" s="36">
        <f t="shared" si="5"/>
        <v>0</v>
      </c>
      <c r="K14" s="36">
        <f t="shared" si="6"/>
        <v>0</v>
      </c>
      <c r="L14" s="45">
        <f t="shared" si="7"/>
        <v>1135.1264829396325</v>
      </c>
    </row>
    <row r="15" spans="1:12" x14ac:dyDescent="0.25">
      <c r="A15" s="11">
        <v>6618</v>
      </c>
      <c r="B15" s="1">
        <v>375</v>
      </c>
      <c r="C15" s="2">
        <v>377</v>
      </c>
      <c r="D15" s="1">
        <v>381</v>
      </c>
      <c r="E15" s="1">
        <f t="shared" si="1"/>
        <v>6000</v>
      </c>
      <c r="F15" s="1">
        <f t="shared" si="0"/>
        <v>6000</v>
      </c>
      <c r="G15" s="1">
        <f t="shared" si="2"/>
        <v>0</v>
      </c>
      <c r="H15" s="1">
        <f t="shared" si="3"/>
        <v>0</v>
      </c>
      <c r="I15" s="36">
        <f t="shared" si="4"/>
        <v>972.96555680539927</v>
      </c>
      <c r="J15" s="36">
        <f t="shared" si="5"/>
        <v>0</v>
      </c>
      <c r="K15" s="36">
        <f t="shared" si="6"/>
        <v>0</v>
      </c>
      <c r="L15" s="45">
        <f t="shared" si="7"/>
        <v>972.96555680539927</v>
      </c>
    </row>
    <row r="16" spans="1:12" x14ac:dyDescent="0.25">
      <c r="A16" s="11">
        <v>7718</v>
      </c>
      <c r="B16" s="1">
        <v>594</v>
      </c>
      <c r="C16" s="2">
        <v>599</v>
      </c>
      <c r="D16" s="1">
        <v>606</v>
      </c>
      <c r="E16" s="1">
        <f t="shared" si="1"/>
        <v>12000</v>
      </c>
      <c r="F16" s="1">
        <f t="shared" si="0"/>
        <v>12000</v>
      </c>
      <c r="G16" s="1">
        <f t="shared" si="2"/>
        <v>0</v>
      </c>
      <c r="H16" s="1">
        <f t="shared" si="3"/>
        <v>0</v>
      </c>
      <c r="I16" s="36">
        <f t="shared" si="4"/>
        <v>1945.9311136107985</v>
      </c>
      <c r="J16" s="36">
        <f t="shared" si="5"/>
        <v>0</v>
      </c>
      <c r="K16" s="36">
        <f t="shared" si="6"/>
        <v>0</v>
      </c>
      <c r="L16" s="45">
        <f t="shared" si="7"/>
        <v>1945.9311136107985</v>
      </c>
    </row>
    <row r="17" spans="1:12" x14ac:dyDescent="0.25">
      <c r="A17" s="11">
        <v>8818</v>
      </c>
      <c r="B17" s="1">
        <v>355</v>
      </c>
      <c r="C17" s="2">
        <v>359</v>
      </c>
      <c r="D17" s="1">
        <v>364</v>
      </c>
      <c r="E17" s="1">
        <f t="shared" si="1"/>
        <v>9000</v>
      </c>
      <c r="F17" s="1">
        <f t="shared" si="0"/>
        <v>9000</v>
      </c>
      <c r="G17" s="1">
        <f t="shared" si="2"/>
        <v>0</v>
      </c>
      <c r="H17" s="1">
        <f t="shared" si="3"/>
        <v>0</v>
      </c>
      <c r="I17" s="36">
        <f t="shared" si="4"/>
        <v>1459.448335208099</v>
      </c>
      <c r="J17" s="36">
        <f t="shared" si="5"/>
        <v>0</v>
      </c>
      <c r="K17" s="36">
        <f t="shared" si="6"/>
        <v>0</v>
      </c>
      <c r="L17" s="45">
        <f t="shared" si="7"/>
        <v>1459.448335208099</v>
      </c>
    </row>
    <row r="18" spans="1:12" x14ac:dyDescent="0.25">
      <c r="A18" s="11">
        <v>1119</v>
      </c>
      <c r="B18" s="1">
        <v>216</v>
      </c>
      <c r="C18" s="2">
        <v>216</v>
      </c>
      <c r="D18" s="1">
        <v>217</v>
      </c>
      <c r="E18" s="1">
        <f t="shared" si="1"/>
        <v>1000</v>
      </c>
      <c r="F18" s="1">
        <f t="shared" si="0"/>
        <v>1000</v>
      </c>
      <c r="G18" s="1">
        <f t="shared" si="2"/>
        <v>0</v>
      </c>
      <c r="H18" s="1">
        <f t="shared" si="3"/>
        <v>0</v>
      </c>
      <c r="I18" s="36">
        <f t="shared" si="4"/>
        <v>162.16092613423322</v>
      </c>
      <c r="J18" s="36">
        <f t="shared" si="5"/>
        <v>0</v>
      </c>
      <c r="K18" s="36">
        <f t="shared" si="6"/>
        <v>0</v>
      </c>
      <c r="L18" s="45">
        <f t="shared" si="7"/>
        <v>162.16092613423322</v>
      </c>
    </row>
    <row r="19" spans="1:12" x14ac:dyDescent="0.25">
      <c r="A19" s="11">
        <v>2219</v>
      </c>
      <c r="B19" s="1">
        <v>224</v>
      </c>
      <c r="C19" s="2">
        <v>227</v>
      </c>
      <c r="D19" s="1">
        <v>230</v>
      </c>
      <c r="E19" s="1">
        <f t="shared" si="1"/>
        <v>6000</v>
      </c>
      <c r="F19" s="1">
        <f t="shared" si="0"/>
        <v>6000</v>
      </c>
      <c r="G19" s="1">
        <f t="shared" si="2"/>
        <v>0</v>
      </c>
      <c r="H19" s="1">
        <f t="shared" si="3"/>
        <v>0</v>
      </c>
      <c r="I19" s="36">
        <f t="shared" si="4"/>
        <v>972.96555680539927</v>
      </c>
      <c r="J19" s="36">
        <f t="shared" si="5"/>
        <v>0</v>
      </c>
      <c r="K19" s="36">
        <f t="shared" si="6"/>
        <v>0</v>
      </c>
      <c r="L19" s="45">
        <f t="shared" si="7"/>
        <v>972.96555680539927</v>
      </c>
    </row>
    <row r="20" spans="1:12" x14ac:dyDescent="0.25">
      <c r="A20" s="11">
        <v>3319</v>
      </c>
      <c r="B20" s="1">
        <v>511</v>
      </c>
      <c r="C20" s="2">
        <v>513</v>
      </c>
      <c r="D20" s="1">
        <v>520</v>
      </c>
      <c r="E20" s="1">
        <f t="shared" si="1"/>
        <v>9000</v>
      </c>
      <c r="F20" s="1">
        <f t="shared" si="0"/>
        <v>9000</v>
      </c>
      <c r="G20" s="1">
        <f t="shared" si="2"/>
        <v>0</v>
      </c>
      <c r="H20" s="1">
        <f t="shared" si="3"/>
        <v>0</v>
      </c>
      <c r="I20" s="36">
        <f t="shared" si="4"/>
        <v>1459.448335208099</v>
      </c>
      <c r="J20" s="36">
        <f t="shared" si="5"/>
        <v>0</v>
      </c>
      <c r="K20" s="36">
        <f t="shared" si="6"/>
        <v>0</v>
      </c>
      <c r="L20" s="45">
        <f t="shared" si="7"/>
        <v>1459.448335208099</v>
      </c>
    </row>
    <row r="21" spans="1:12" x14ac:dyDescent="0.25">
      <c r="A21" s="11">
        <v>4419</v>
      </c>
      <c r="B21" s="1">
        <v>801</v>
      </c>
      <c r="C21" s="2">
        <v>809</v>
      </c>
      <c r="D21" s="1">
        <v>817</v>
      </c>
      <c r="E21" s="1">
        <f t="shared" si="1"/>
        <v>16000</v>
      </c>
      <c r="F21" s="1">
        <f t="shared" si="0"/>
        <v>15000</v>
      </c>
      <c r="G21" s="1">
        <f t="shared" si="2"/>
        <v>1000</v>
      </c>
      <c r="H21" s="1">
        <f t="shared" si="3"/>
        <v>0</v>
      </c>
      <c r="I21" s="36">
        <f t="shared" si="4"/>
        <v>2432.4138920134983</v>
      </c>
      <c r="J21" s="36">
        <f t="shared" si="5"/>
        <v>243.24138920134982</v>
      </c>
      <c r="K21" s="36">
        <f t="shared" si="6"/>
        <v>0</v>
      </c>
      <c r="L21" s="45">
        <f t="shared" si="7"/>
        <v>2675.6552812148479</v>
      </c>
    </row>
    <row r="22" spans="1:12" x14ac:dyDescent="0.25">
      <c r="A22" s="11">
        <v>5519</v>
      </c>
      <c r="B22" s="1">
        <v>425</v>
      </c>
      <c r="C22" s="2">
        <v>429</v>
      </c>
      <c r="D22" s="1">
        <v>434</v>
      </c>
      <c r="E22" s="1">
        <f t="shared" si="1"/>
        <v>9000</v>
      </c>
      <c r="F22" s="1">
        <f t="shared" si="0"/>
        <v>9000</v>
      </c>
      <c r="G22" s="1">
        <f t="shared" si="2"/>
        <v>0</v>
      </c>
      <c r="H22" s="1">
        <f t="shared" si="3"/>
        <v>0</v>
      </c>
      <c r="I22" s="36">
        <f t="shared" si="4"/>
        <v>1459.448335208099</v>
      </c>
      <c r="J22" s="36">
        <f t="shared" si="5"/>
        <v>0</v>
      </c>
      <c r="K22" s="36">
        <f t="shared" si="6"/>
        <v>0</v>
      </c>
      <c r="L22" s="45">
        <f t="shared" si="7"/>
        <v>1459.448335208099</v>
      </c>
    </row>
    <row r="23" spans="1:12" x14ac:dyDescent="0.25">
      <c r="A23" s="11">
        <v>6619</v>
      </c>
      <c r="B23" s="1">
        <v>574</v>
      </c>
      <c r="C23" s="2">
        <v>579</v>
      </c>
      <c r="D23" s="1">
        <v>583</v>
      </c>
      <c r="E23" s="1">
        <f t="shared" si="1"/>
        <v>9000</v>
      </c>
      <c r="F23" s="1">
        <f t="shared" si="0"/>
        <v>9000</v>
      </c>
      <c r="G23" s="1">
        <f t="shared" si="2"/>
        <v>0</v>
      </c>
      <c r="H23" s="1">
        <f t="shared" si="3"/>
        <v>0</v>
      </c>
      <c r="I23" s="36">
        <f t="shared" si="4"/>
        <v>1459.448335208099</v>
      </c>
      <c r="J23" s="36">
        <f t="shared" si="5"/>
        <v>0</v>
      </c>
      <c r="K23" s="36">
        <f t="shared" si="6"/>
        <v>0</v>
      </c>
      <c r="L23" s="45">
        <f t="shared" si="7"/>
        <v>1459.448335208099</v>
      </c>
    </row>
    <row r="24" spans="1:12" x14ac:dyDescent="0.25">
      <c r="A24" s="11">
        <v>7719</v>
      </c>
      <c r="B24" s="1">
        <v>550</v>
      </c>
      <c r="C24" s="2">
        <v>555</v>
      </c>
      <c r="D24" s="1">
        <v>559</v>
      </c>
      <c r="E24" s="1">
        <f t="shared" si="1"/>
        <v>9000</v>
      </c>
      <c r="F24" s="1">
        <f t="shared" si="0"/>
        <v>9000</v>
      </c>
      <c r="G24" s="1">
        <f t="shared" si="2"/>
        <v>0</v>
      </c>
      <c r="H24" s="1">
        <f t="shared" si="3"/>
        <v>0</v>
      </c>
      <c r="I24" s="36">
        <f t="shared" si="4"/>
        <v>1459.448335208099</v>
      </c>
      <c r="J24" s="36">
        <f t="shared" si="5"/>
        <v>0</v>
      </c>
      <c r="K24" s="36">
        <f t="shared" si="6"/>
        <v>0</v>
      </c>
      <c r="L24" s="45">
        <f t="shared" si="7"/>
        <v>1459.448335208099</v>
      </c>
    </row>
    <row r="25" spans="1:12" x14ac:dyDescent="0.25">
      <c r="A25" s="11">
        <v>8819</v>
      </c>
      <c r="B25" s="1">
        <v>449</v>
      </c>
      <c r="C25" s="34">
        <v>449</v>
      </c>
      <c r="D25" s="1">
        <v>449</v>
      </c>
      <c r="E25" s="1">
        <f t="shared" si="1"/>
        <v>0</v>
      </c>
      <c r="F25" s="1">
        <f t="shared" si="0"/>
        <v>0</v>
      </c>
      <c r="G25" s="1">
        <f t="shared" si="2"/>
        <v>0</v>
      </c>
      <c r="H25" s="1">
        <f t="shared" si="3"/>
        <v>0</v>
      </c>
      <c r="I25" s="36">
        <f t="shared" si="4"/>
        <v>0</v>
      </c>
      <c r="J25" s="36">
        <f t="shared" si="5"/>
        <v>0</v>
      </c>
      <c r="K25" s="36">
        <f t="shared" si="6"/>
        <v>0</v>
      </c>
      <c r="L25" s="45">
        <f t="shared" si="7"/>
        <v>0</v>
      </c>
    </row>
    <row r="26" spans="1:12" x14ac:dyDescent="0.25">
      <c r="A26" s="11">
        <v>1120</v>
      </c>
      <c r="B26" s="1">
        <v>528</v>
      </c>
      <c r="C26" s="2">
        <v>534</v>
      </c>
      <c r="D26" s="1">
        <v>540</v>
      </c>
      <c r="E26" s="1">
        <f t="shared" si="1"/>
        <v>12000</v>
      </c>
      <c r="F26" s="1">
        <f t="shared" si="0"/>
        <v>12000</v>
      </c>
      <c r="G26" s="1">
        <f t="shared" si="2"/>
        <v>0</v>
      </c>
      <c r="H26" s="1">
        <f t="shared" si="3"/>
        <v>0</v>
      </c>
      <c r="I26" s="36">
        <f t="shared" si="4"/>
        <v>1945.9311136107985</v>
      </c>
      <c r="J26" s="36">
        <f t="shared" si="5"/>
        <v>0</v>
      </c>
      <c r="K26" s="36">
        <f t="shared" si="6"/>
        <v>0</v>
      </c>
      <c r="L26" s="45">
        <f t="shared" si="7"/>
        <v>1945.9311136107985</v>
      </c>
    </row>
    <row r="27" spans="1:12" x14ac:dyDescent="0.25">
      <c r="A27" s="11">
        <v>2220</v>
      </c>
      <c r="B27" s="1">
        <v>319</v>
      </c>
      <c r="C27" s="2">
        <v>321</v>
      </c>
      <c r="D27" s="1">
        <v>325</v>
      </c>
      <c r="E27" s="1">
        <f t="shared" si="1"/>
        <v>6000</v>
      </c>
      <c r="F27" s="1">
        <f t="shared" si="0"/>
        <v>6000</v>
      </c>
      <c r="G27" s="1">
        <f t="shared" si="2"/>
        <v>0</v>
      </c>
      <c r="H27" s="1">
        <f t="shared" si="3"/>
        <v>0</v>
      </c>
      <c r="I27" s="36">
        <f t="shared" si="4"/>
        <v>972.96555680539927</v>
      </c>
      <c r="J27" s="36">
        <f t="shared" si="5"/>
        <v>0</v>
      </c>
      <c r="K27" s="36">
        <f t="shared" si="6"/>
        <v>0</v>
      </c>
      <c r="L27" s="45">
        <f t="shared" si="7"/>
        <v>972.96555680539927</v>
      </c>
    </row>
    <row r="28" spans="1:12" x14ac:dyDescent="0.25">
      <c r="A28" s="11">
        <v>3320</v>
      </c>
      <c r="B28" s="1">
        <v>258</v>
      </c>
      <c r="C28" s="2">
        <v>261</v>
      </c>
      <c r="D28" s="1">
        <v>263</v>
      </c>
      <c r="E28" s="1">
        <f t="shared" si="1"/>
        <v>5000</v>
      </c>
      <c r="F28" s="1">
        <f t="shared" si="0"/>
        <v>5000</v>
      </c>
      <c r="G28" s="1">
        <f t="shared" si="2"/>
        <v>0</v>
      </c>
      <c r="H28" s="1">
        <f t="shared" si="3"/>
        <v>0</v>
      </c>
      <c r="I28" s="36">
        <f t="shared" si="4"/>
        <v>810.80463067116614</v>
      </c>
      <c r="J28" s="36">
        <f t="shared" si="5"/>
        <v>0</v>
      </c>
      <c r="K28" s="36">
        <f t="shared" si="6"/>
        <v>0</v>
      </c>
      <c r="L28" s="45">
        <f t="shared" si="7"/>
        <v>810.80463067116614</v>
      </c>
    </row>
    <row r="29" spans="1:12" x14ac:dyDescent="0.25">
      <c r="A29" s="11">
        <v>4420</v>
      </c>
      <c r="B29" s="1">
        <v>604</v>
      </c>
      <c r="C29" s="2">
        <v>610</v>
      </c>
      <c r="D29" s="1">
        <v>615</v>
      </c>
      <c r="E29" s="1">
        <f t="shared" si="1"/>
        <v>11000</v>
      </c>
      <c r="F29" s="1">
        <f t="shared" si="0"/>
        <v>11000</v>
      </c>
      <c r="G29" s="1">
        <f t="shared" si="2"/>
        <v>0</v>
      </c>
      <c r="H29" s="1">
        <f t="shared" si="3"/>
        <v>0</v>
      </c>
      <c r="I29" s="36">
        <f t="shared" si="4"/>
        <v>1783.7701874765653</v>
      </c>
      <c r="J29" s="36">
        <f t="shared" si="5"/>
        <v>0</v>
      </c>
      <c r="K29" s="36">
        <f t="shared" si="6"/>
        <v>0</v>
      </c>
      <c r="L29" s="45">
        <f t="shared" si="7"/>
        <v>1783.7701874765653</v>
      </c>
    </row>
    <row r="30" spans="1:12" x14ac:dyDescent="0.25">
      <c r="A30" s="11">
        <v>5520</v>
      </c>
      <c r="B30" s="1">
        <v>408</v>
      </c>
      <c r="C30" s="2">
        <v>411</v>
      </c>
      <c r="D30" s="1">
        <v>416</v>
      </c>
      <c r="E30" s="1">
        <f t="shared" si="1"/>
        <v>8000</v>
      </c>
      <c r="F30" s="1">
        <f t="shared" si="0"/>
        <v>8000</v>
      </c>
      <c r="G30" s="1">
        <f t="shared" si="2"/>
        <v>0</v>
      </c>
      <c r="H30" s="1">
        <f t="shared" si="3"/>
        <v>0</v>
      </c>
      <c r="I30" s="36">
        <f t="shared" si="4"/>
        <v>1297.2874090738658</v>
      </c>
      <c r="J30" s="36">
        <f t="shared" si="5"/>
        <v>0</v>
      </c>
      <c r="K30" s="36">
        <f t="shared" si="6"/>
        <v>0</v>
      </c>
      <c r="L30" s="45">
        <f t="shared" si="7"/>
        <v>1297.2874090738658</v>
      </c>
    </row>
    <row r="31" spans="1:12" x14ac:dyDescent="0.25">
      <c r="A31" s="11">
        <v>6620</v>
      </c>
      <c r="B31" s="1">
        <v>592</v>
      </c>
      <c r="C31" s="2">
        <v>596</v>
      </c>
      <c r="D31" s="1">
        <v>600</v>
      </c>
      <c r="E31" s="1">
        <f t="shared" si="1"/>
        <v>8000</v>
      </c>
      <c r="F31" s="1">
        <f t="shared" si="0"/>
        <v>8000</v>
      </c>
      <c r="G31" s="1">
        <f t="shared" si="2"/>
        <v>0</v>
      </c>
      <c r="H31" s="1">
        <f t="shared" si="3"/>
        <v>0</v>
      </c>
      <c r="I31" s="36">
        <f t="shared" si="4"/>
        <v>1297.2874090738658</v>
      </c>
      <c r="J31" s="36">
        <f t="shared" si="5"/>
        <v>0</v>
      </c>
      <c r="K31" s="36">
        <f t="shared" si="6"/>
        <v>0</v>
      </c>
      <c r="L31" s="45">
        <f t="shared" si="7"/>
        <v>1297.2874090738658</v>
      </c>
    </row>
    <row r="32" spans="1:12" x14ac:dyDescent="0.25">
      <c r="A32" s="11">
        <v>7720</v>
      </c>
      <c r="B32" s="1">
        <v>416</v>
      </c>
      <c r="C32" s="2">
        <v>419</v>
      </c>
      <c r="D32" s="1">
        <v>424</v>
      </c>
      <c r="E32" s="1">
        <f t="shared" si="1"/>
        <v>8000</v>
      </c>
      <c r="F32" s="1">
        <f t="shared" si="0"/>
        <v>8000</v>
      </c>
      <c r="G32" s="1">
        <f t="shared" si="2"/>
        <v>0</v>
      </c>
      <c r="H32" s="1">
        <f t="shared" si="3"/>
        <v>0</v>
      </c>
      <c r="I32" s="36">
        <f t="shared" si="4"/>
        <v>1297.2874090738658</v>
      </c>
      <c r="J32" s="36">
        <f t="shared" si="5"/>
        <v>0</v>
      </c>
      <c r="K32" s="36">
        <f t="shared" si="6"/>
        <v>0</v>
      </c>
      <c r="L32" s="45">
        <f t="shared" si="7"/>
        <v>1297.2874090738658</v>
      </c>
    </row>
    <row r="33" spans="1:12" x14ac:dyDescent="0.25">
      <c r="A33" s="11">
        <v>8820</v>
      </c>
      <c r="B33" s="1">
        <v>309</v>
      </c>
      <c r="C33" s="2">
        <v>311</v>
      </c>
      <c r="D33" s="1">
        <v>320</v>
      </c>
      <c r="E33" s="1">
        <f t="shared" si="1"/>
        <v>11000</v>
      </c>
      <c r="F33" s="1">
        <f t="shared" si="0"/>
        <v>11000</v>
      </c>
      <c r="G33" s="1">
        <f t="shared" si="2"/>
        <v>0</v>
      </c>
      <c r="H33" s="1">
        <f t="shared" si="3"/>
        <v>0</v>
      </c>
      <c r="I33" s="36">
        <f t="shared" si="4"/>
        <v>1783.7701874765653</v>
      </c>
      <c r="J33" s="36">
        <f t="shared" si="5"/>
        <v>0</v>
      </c>
      <c r="K33" s="36">
        <f t="shared" si="6"/>
        <v>0</v>
      </c>
      <c r="L33" s="45">
        <f t="shared" si="7"/>
        <v>1783.7701874765653</v>
      </c>
    </row>
    <row r="34" spans="1:12" x14ac:dyDescent="0.25">
      <c r="A34" s="11">
        <v>1121</v>
      </c>
      <c r="B34" s="1">
        <v>409</v>
      </c>
      <c r="C34" s="2">
        <v>412</v>
      </c>
      <c r="D34" s="1">
        <v>416</v>
      </c>
      <c r="E34" s="1">
        <f t="shared" si="1"/>
        <v>7000</v>
      </c>
      <c r="F34" s="1">
        <f t="shared" si="0"/>
        <v>7000</v>
      </c>
      <c r="G34" s="1">
        <f t="shared" si="2"/>
        <v>0</v>
      </c>
      <c r="H34" s="1">
        <f t="shared" si="3"/>
        <v>0</v>
      </c>
      <c r="I34" s="36">
        <f t="shared" si="4"/>
        <v>1135.1264829396325</v>
      </c>
      <c r="J34" s="36">
        <f t="shared" si="5"/>
        <v>0</v>
      </c>
      <c r="K34" s="36">
        <f t="shared" si="6"/>
        <v>0</v>
      </c>
      <c r="L34" s="45">
        <f t="shared" si="7"/>
        <v>1135.1264829396325</v>
      </c>
    </row>
    <row r="35" spans="1:12" x14ac:dyDescent="0.25">
      <c r="A35" s="11">
        <v>2221</v>
      </c>
      <c r="B35" s="1">
        <v>485</v>
      </c>
      <c r="C35" s="2">
        <v>488</v>
      </c>
      <c r="D35" s="1">
        <v>493</v>
      </c>
      <c r="E35" s="1">
        <f t="shared" si="1"/>
        <v>8000</v>
      </c>
      <c r="F35" s="1">
        <f t="shared" si="0"/>
        <v>8000</v>
      </c>
      <c r="G35" s="1">
        <f t="shared" si="2"/>
        <v>0</v>
      </c>
      <c r="H35" s="1">
        <f t="shared" si="3"/>
        <v>0</v>
      </c>
      <c r="I35" s="36">
        <f t="shared" si="4"/>
        <v>1297.2874090738658</v>
      </c>
      <c r="J35" s="36">
        <f t="shared" si="5"/>
        <v>0</v>
      </c>
      <c r="K35" s="36">
        <f t="shared" si="6"/>
        <v>0</v>
      </c>
      <c r="L35" s="45">
        <f t="shared" si="7"/>
        <v>1297.2874090738658</v>
      </c>
    </row>
    <row r="36" spans="1:12" x14ac:dyDescent="0.25">
      <c r="A36" s="11">
        <v>3321</v>
      </c>
      <c r="B36" s="1">
        <v>267</v>
      </c>
      <c r="C36" s="2">
        <v>270</v>
      </c>
      <c r="D36" s="1">
        <v>274</v>
      </c>
      <c r="E36" s="1">
        <f t="shared" si="1"/>
        <v>7000</v>
      </c>
      <c r="F36" s="1">
        <f t="shared" si="0"/>
        <v>7000</v>
      </c>
      <c r="G36" s="1">
        <f t="shared" si="2"/>
        <v>0</v>
      </c>
      <c r="H36" s="1">
        <f t="shared" si="3"/>
        <v>0</v>
      </c>
      <c r="I36" s="36">
        <f t="shared" si="4"/>
        <v>1135.1264829396325</v>
      </c>
      <c r="J36" s="36">
        <f t="shared" si="5"/>
        <v>0</v>
      </c>
      <c r="K36" s="36">
        <f t="shared" si="6"/>
        <v>0</v>
      </c>
      <c r="L36" s="45">
        <f t="shared" si="7"/>
        <v>1135.1264829396325</v>
      </c>
    </row>
    <row r="37" spans="1:12" x14ac:dyDescent="0.25">
      <c r="A37" s="11">
        <v>4421</v>
      </c>
      <c r="B37" s="1">
        <v>317</v>
      </c>
      <c r="C37" s="2">
        <v>318</v>
      </c>
      <c r="D37" s="1">
        <v>319</v>
      </c>
      <c r="E37" s="1">
        <f t="shared" si="1"/>
        <v>2000</v>
      </c>
      <c r="F37" s="1">
        <f t="shared" si="0"/>
        <v>2000</v>
      </c>
      <c r="G37" s="1">
        <f t="shared" si="2"/>
        <v>0</v>
      </c>
      <c r="H37" s="1">
        <f t="shared" si="3"/>
        <v>0</v>
      </c>
      <c r="I37" s="36">
        <f t="shared" si="4"/>
        <v>324.32185226846644</v>
      </c>
      <c r="J37" s="36">
        <f t="shared" si="5"/>
        <v>0</v>
      </c>
      <c r="K37" s="36">
        <f t="shared" si="6"/>
        <v>0</v>
      </c>
      <c r="L37" s="45">
        <f t="shared" si="7"/>
        <v>324.32185226846644</v>
      </c>
    </row>
    <row r="38" spans="1:12" x14ac:dyDescent="0.25">
      <c r="A38" s="11">
        <v>5521</v>
      </c>
      <c r="B38" s="1">
        <v>448</v>
      </c>
      <c r="C38" s="2">
        <v>452</v>
      </c>
      <c r="D38" s="1">
        <v>456</v>
      </c>
      <c r="E38" s="1">
        <f t="shared" si="1"/>
        <v>8000</v>
      </c>
      <c r="F38" s="1">
        <f t="shared" si="0"/>
        <v>8000</v>
      </c>
      <c r="G38" s="1">
        <f t="shared" si="2"/>
        <v>0</v>
      </c>
      <c r="H38" s="1">
        <f t="shared" si="3"/>
        <v>0</v>
      </c>
      <c r="I38" s="36">
        <f t="shared" si="4"/>
        <v>1297.2874090738658</v>
      </c>
      <c r="J38" s="36">
        <f t="shared" si="5"/>
        <v>0</v>
      </c>
      <c r="K38" s="36">
        <f t="shared" si="6"/>
        <v>0</v>
      </c>
      <c r="L38" s="45">
        <f t="shared" si="7"/>
        <v>1297.2874090738658</v>
      </c>
    </row>
    <row r="39" spans="1:12" x14ac:dyDescent="0.25">
      <c r="A39" s="11">
        <v>6621</v>
      </c>
      <c r="B39" s="1">
        <v>425</v>
      </c>
      <c r="C39" s="2">
        <v>428</v>
      </c>
      <c r="D39" s="1">
        <v>433</v>
      </c>
      <c r="E39" s="1">
        <f t="shared" si="1"/>
        <v>8000</v>
      </c>
      <c r="F39" s="1">
        <f t="shared" si="0"/>
        <v>8000</v>
      </c>
      <c r="G39" s="1">
        <f t="shared" si="2"/>
        <v>0</v>
      </c>
      <c r="H39" s="1">
        <f t="shared" si="3"/>
        <v>0</v>
      </c>
      <c r="I39" s="36">
        <f t="shared" si="4"/>
        <v>1297.2874090738658</v>
      </c>
      <c r="J39" s="36">
        <f t="shared" si="5"/>
        <v>0</v>
      </c>
      <c r="K39" s="36">
        <f t="shared" si="6"/>
        <v>0</v>
      </c>
      <c r="L39" s="45">
        <f t="shared" si="7"/>
        <v>1297.2874090738658</v>
      </c>
    </row>
    <row r="40" spans="1:12" x14ac:dyDescent="0.25">
      <c r="A40" s="11">
        <v>7721</v>
      </c>
      <c r="B40" s="1">
        <v>438</v>
      </c>
      <c r="C40" s="2">
        <v>441</v>
      </c>
      <c r="D40" s="1">
        <v>444</v>
      </c>
      <c r="E40" s="1">
        <f t="shared" si="1"/>
        <v>6000</v>
      </c>
      <c r="F40" s="1">
        <f t="shared" si="0"/>
        <v>6000</v>
      </c>
      <c r="G40" s="1">
        <f t="shared" si="2"/>
        <v>0</v>
      </c>
      <c r="H40" s="1">
        <f t="shared" si="3"/>
        <v>0</v>
      </c>
      <c r="I40" s="36">
        <f t="shared" si="4"/>
        <v>972.96555680539927</v>
      </c>
      <c r="J40" s="36">
        <f t="shared" si="5"/>
        <v>0</v>
      </c>
      <c r="K40" s="36">
        <f t="shared" si="6"/>
        <v>0</v>
      </c>
      <c r="L40" s="45">
        <f t="shared" si="7"/>
        <v>972.96555680539927</v>
      </c>
    </row>
    <row r="41" spans="1:12" x14ac:dyDescent="0.25">
      <c r="A41" s="11">
        <v>8821</v>
      </c>
      <c r="B41" s="1">
        <v>472</v>
      </c>
      <c r="C41" s="2">
        <v>476</v>
      </c>
      <c r="D41" s="1">
        <v>481</v>
      </c>
      <c r="E41" s="1">
        <f t="shared" si="1"/>
        <v>9000</v>
      </c>
      <c r="F41" s="1">
        <f t="shared" si="0"/>
        <v>9000</v>
      </c>
      <c r="G41" s="1">
        <f t="shared" si="2"/>
        <v>0</v>
      </c>
      <c r="H41" s="1">
        <f t="shared" si="3"/>
        <v>0</v>
      </c>
      <c r="I41" s="36">
        <f t="shared" si="4"/>
        <v>1459.448335208099</v>
      </c>
      <c r="J41" s="36">
        <f t="shared" si="5"/>
        <v>0</v>
      </c>
      <c r="K41" s="36">
        <f t="shared" si="6"/>
        <v>0</v>
      </c>
      <c r="L41" s="45">
        <f t="shared" si="7"/>
        <v>1459.448335208099</v>
      </c>
    </row>
    <row r="42" spans="1:12" x14ac:dyDescent="0.25">
      <c r="A42" s="11">
        <v>1122</v>
      </c>
      <c r="B42" s="1">
        <v>413</v>
      </c>
      <c r="C42" s="2">
        <v>413</v>
      </c>
      <c r="D42" s="1">
        <v>414</v>
      </c>
      <c r="E42" s="1">
        <f t="shared" si="1"/>
        <v>1000</v>
      </c>
      <c r="F42" s="1">
        <f t="shared" si="0"/>
        <v>1000</v>
      </c>
      <c r="G42" s="1">
        <f t="shared" si="2"/>
        <v>0</v>
      </c>
      <c r="H42" s="1">
        <f t="shared" si="3"/>
        <v>0</v>
      </c>
      <c r="I42" s="36">
        <f t="shared" si="4"/>
        <v>162.16092613423322</v>
      </c>
      <c r="J42" s="36">
        <f t="shared" si="5"/>
        <v>0</v>
      </c>
      <c r="K42" s="36">
        <f t="shared" si="6"/>
        <v>0</v>
      </c>
      <c r="L42" s="45">
        <f t="shared" si="7"/>
        <v>162.16092613423322</v>
      </c>
    </row>
    <row r="43" spans="1:12" x14ac:dyDescent="0.25">
      <c r="A43" s="11">
        <v>2222</v>
      </c>
      <c r="B43" s="1">
        <v>343</v>
      </c>
      <c r="C43" s="2">
        <v>343</v>
      </c>
      <c r="D43" s="1">
        <v>345</v>
      </c>
      <c r="E43" s="1">
        <f t="shared" si="1"/>
        <v>2000</v>
      </c>
      <c r="F43" s="1">
        <f t="shared" si="0"/>
        <v>2000</v>
      </c>
      <c r="G43" s="1">
        <f t="shared" si="2"/>
        <v>0</v>
      </c>
      <c r="H43" s="1">
        <f t="shared" si="3"/>
        <v>0</v>
      </c>
      <c r="I43" s="36">
        <f t="shared" si="4"/>
        <v>324.32185226846644</v>
      </c>
      <c r="J43" s="36">
        <f t="shared" si="5"/>
        <v>0</v>
      </c>
      <c r="K43" s="36">
        <f t="shared" si="6"/>
        <v>0</v>
      </c>
      <c r="L43" s="45">
        <f t="shared" si="7"/>
        <v>324.32185226846644</v>
      </c>
    </row>
    <row r="44" spans="1:12" x14ac:dyDescent="0.25">
      <c r="A44" s="11">
        <v>3322</v>
      </c>
      <c r="B44" s="1">
        <v>721</v>
      </c>
      <c r="C44" s="2">
        <v>725</v>
      </c>
      <c r="D44" s="1">
        <v>729</v>
      </c>
      <c r="E44" s="1">
        <f t="shared" si="1"/>
        <v>8000</v>
      </c>
      <c r="F44" s="1">
        <f t="shared" si="0"/>
        <v>8000</v>
      </c>
      <c r="G44" s="1">
        <f t="shared" si="2"/>
        <v>0</v>
      </c>
      <c r="H44" s="1">
        <f t="shared" si="3"/>
        <v>0</v>
      </c>
      <c r="I44" s="36">
        <f t="shared" si="4"/>
        <v>1297.2874090738658</v>
      </c>
      <c r="J44" s="36">
        <f t="shared" si="5"/>
        <v>0</v>
      </c>
      <c r="K44" s="36">
        <f t="shared" si="6"/>
        <v>0</v>
      </c>
      <c r="L44" s="45">
        <f t="shared" si="7"/>
        <v>1297.2874090738658</v>
      </c>
    </row>
    <row r="45" spans="1:12" x14ac:dyDescent="0.25">
      <c r="A45" s="11">
        <v>4422</v>
      </c>
      <c r="B45" s="1">
        <v>495</v>
      </c>
      <c r="C45" s="2">
        <v>500</v>
      </c>
      <c r="D45" s="1">
        <v>507</v>
      </c>
      <c r="E45" s="1">
        <f t="shared" si="1"/>
        <v>12000</v>
      </c>
      <c r="F45" s="1">
        <f t="shared" si="0"/>
        <v>12000</v>
      </c>
      <c r="G45" s="1">
        <f t="shared" si="2"/>
        <v>0</v>
      </c>
      <c r="H45" s="1">
        <f t="shared" si="3"/>
        <v>0</v>
      </c>
      <c r="I45" s="36">
        <f t="shared" si="4"/>
        <v>1945.9311136107985</v>
      </c>
      <c r="J45" s="36">
        <f t="shared" si="5"/>
        <v>0</v>
      </c>
      <c r="K45" s="36">
        <f t="shared" si="6"/>
        <v>0</v>
      </c>
      <c r="L45" s="45">
        <f t="shared" si="7"/>
        <v>1945.9311136107985</v>
      </c>
    </row>
    <row r="46" spans="1:12" x14ac:dyDescent="0.25">
      <c r="A46" s="11">
        <v>5522</v>
      </c>
      <c r="B46" s="1">
        <v>392</v>
      </c>
      <c r="C46" s="2">
        <v>395</v>
      </c>
      <c r="D46" s="1">
        <v>398</v>
      </c>
      <c r="E46" s="1">
        <f t="shared" si="1"/>
        <v>6000</v>
      </c>
      <c r="F46" s="1">
        <f t="shared" si="0"/>
        <v>6000</v>
      </c>
      <c r="G46" s="1">
        <f t="shared" si="2"/>
        <v>0</v>
      </c>
      <c r="H46" s="1">
        <f t="shared" si="3"/>
        <v>0</v>
      </c>
      <c r="I46" s="36">
        <f t="shared" si="4"/>
        <v>972.96555680539927</v>
      </c>
      <c r="J46" s="36">
        <f t="shared" si="5"/>
        <v>0</v>
      </c>
      <c r="K46" s="36">
        <f t="shared" si="6"/>
        <v>0</v>
      </c>
      <c r="L46" s="45">
        <f t="shared" si="7"/>
        <v>972.96555680539927</v>
      </c>
    </row>
    <row r="47" spans="1:12" x14ac:dyDescent="0.25">
      <c r="A47" s="11">
        <v>6622</v>
      </c>
      <c r="B47" s="1">
        <v>338</v>
      </c>
      <c r="C47" s="2">
        <v>340</v>
      </c>
      <c r="D47" s="1">
        <v>342</v>
      </c>
      <c r="E47" s="1">
        <f t="shared" si="1"/>
        <v>4000</v>
      </c>
      <c r="F47" s="1">
        <f t="shared" si="0"/>
        <v>4000</v>
      </c>
      <c r="G47" s="1">
        <f t="shared" si="2"/>
        <v>0</v>
      </c>
      <c r="H47" s="1">
        <f t="shared" si="3"/>
        <v>0</v>
      </c>
      <c r="I47" s="36">
        <f t="shared" si="4"/>
        <v>648.64370453693289</v>
      </c>
      <c r="J47" s="36">
        <f t="shared" si="5"/>
        <v>0</v>
      </c>
      <c r="K47" s="36">
        <f t="shared" si="6"/>
        <v>0</v>
      </c>
      <c r="L47" s="45">
        <f t="shared" si="7"/>
        <v>648.64370453693289</v>
      </c>
    </row>
    <row r="48" spans="1:12" x14ac:dyDescent="0.25">
      <c r="A48" s="11">
        <v>7722</v>
      </c>
      <c r="B48" s="1">
        <v>582</v>
      </c>
      <c r="C48" s="2">
        <v>587</v>
      </c>
      <c r="D48" s="1">
        <v>592</v>
      </c>
      <c r="E48" s="1">
        <f t="shared" si="1"/>
        <v>10000</v>
      </c>
      <c r="F48" s="1">
        <f t="shared" si="0"/>
        <v>10000</v>
      </c>
      <c r="G48" s="1">
        <f t="shared" si="2"/>
        <v>0</v>
      </c>
      <c r="H48" s="1">
        <f t="shared" si="3"/>
        <v>0</v>
      </c>
      <c r="I48" s="36">
        <f t="shared" si="4"/>
        <v>1621.6092613423323</v>
      </c>
      <c r="J48" s="36">
        <f t="shared" si="5"/>
        <v>0</v>
      </c>
      <c r="K48" s="36">
        <f t="shared" si="6"/>
        <v>0</v>
      </c>
      <c r="L48" s="45">
        <f t="shared" si="7"/>
        <v>1621.6092613423323</v>
      </c>
    </row>
    <row r="49" spans="1:12" x14ac:dyDescent="0.25">
      <c r="A49" s="11">
        <v>2223</v>
      </c>
      <c r="B49" s="1">
        <v>459</v>
      </c>
      <c r="C49" s="2">
        <v>466</v>
      </c>
      <c r="D49" s="1">
        <v>471</v>
      </c>
      <c r="E49" s="1">
        <f t="shared" si="1"/>
        <v>12000</v>
      </c>
      <c r="F49" s="1">
        <f t="shared" si="0"/>
        <v>12000</v>
      </c>
      <c r="G49" s="1">
        <f t="shared" si="2"/>
        <v>0</v>
      </c>
      <c r="H49" s="1">
        <f t="shared" si="3"/>
        <v>0</v>
      </c>
      <c r="I49" s="36">
        <f t="shared" si="4"/>
        <v>1945.9311136107985</v>
      </c>
      <c r="J49" s="36">
        <f t="shared" si="5"/>
        <v>0</v>
      </c>
      <c r="K49" s="36">
        <f t="shared" si="6"/>
        <v>0</v>
      </c>
      <c r="L49" s="45">
        <f t="shared" si="7"/>
        <v>1945.9311136107985</v>
      </c>
    </row>
    <row r="50" spans="1:12" x14ac:dyDescent="0.25">
      <c r="A50" s="11">
        <v>3323</v>
      </c>
      <c r="B50" s="1">
        <v>582</v>
      </c>
      <c r="C50" s="2">
        <v>587</v>
      </c>
      <c r="D50" s="1">
        <v>593</v>
      </c>
      <c r="E50" s="1">
        <f t="shared" si="1"/>
        <v>11000</v>
      </c>
      <c r="F50" s="1">
        <f t="shared" si="0"/>
        <v>11000</v>
      </c>
      <c r="G50" s="1">
        <f t="shared" si="2"/>
        <v>0</v>
      </c>
      <c r="H50" s="1">
        <f t="shared" si="3"/>
        <v>0</v>
      </c>
      <c r="I50" s="36">
        <f t="shared" si="4"/>
        <v>1783.7701874765653</v>
      </c>
      <c r="J50" s="36">
        <f t="shared" si="5"/>
        <v>0</v>
      </c>
      <c r="K50" s="36">
        <f t="shared" si="6"/>
        <v>0</v>
      </c>
      <c r="L50" s="45">
        <f t="shared" si="7"/>
        <v>1783.7701874765653</v>
      </c>
    </row>
    <row r="51" spans="1:12" x14ac:dyDescent="0.25">
      <c r="A51" s="11">
        <v>4423</v>
      </c>
      <c r="B51" s="1">
        <v>437</v>
      </c>
      <c r="C51" s="2">
        <v>441</v>
      </c>
      <c r="D51" s="1">
        <v>447</v>
      </c>
      <c r="E51" s="1">
        <f t="shared" si="1"/>
        <v>10000</v>
      </c>
      <c r="F51" s="1">
        <f t="shared" si="0"/>
        <v>10000</v>
      </c>
      <c r="G51" s="1">
        <f t="shared" si="2"/>
        <v>0</v>
      </c>
      <c r="H51" s="1">
        <f t="shared" si="3"/>
        <v>0</v>
      </c>
      <c r="I51" s="36">
        <f t="shared" si="4"/>
        <v>1621.6092613423323</v>
      </c>
      <c r="J51" s="36">
        <f t="shared" si="5"/>
        <v>0</v>
      </c>
      <c r="K51" s="36">
        <f t="shared" si="6"/>
        <v>0</v>
      </c>
      <c r="L51" s="45">
        <f t="shared" si="7"/>
        <v>1621.6092613423323</v>
      </c>
    </row>
    <row r="52" spans="1:12" x14ac:dyDescent="0.25">
      <c r="A52" s="11">
        <v>5523</v>
      </c>
      <c r="B52" s="1">
        <v>844</v>
      </c>
      <c r="C52" s="2">
        <v>851</v>
      </c>
      <c r="D52" s="1">
        <v>858</v>
      </c>
      <c r="E52" s="1">
        <f t="shared" si="1"/>
        <v>14000</v>
      </c>
      <c r="F52" s="1">
        <f t="shared" si="0"/>
        <v>14000</v>
      </c>
      <c r="G52" s="1">
        <f t="shared" si="2"/>
        <v>0</v>
      </c>
      <c r="H52" s="1">
        <f t="shared" si="3"/>
        <v>0</v>
      </c>
      <c r="I52" s="36">
        <f t="shared" si="4"/>
        <v>2270.252965879265</v>
      </c>
      <c r="J52" s="36">
        <f t="shared" si="5"/>
        <v>0</v>
      </c>
      <c r="K52" s="36">
        <f t="shared" si="6"/>
        <v>0</v>
      </c>
      <c r="L52" s="45">
        <f t="shared" si="7"/>
        <v>2270.252965879265</v>
      </c>
    </row>
    <row r="53" spans="1:12" x14ac:dyDescent="0.25">
      <c r="A53" s="11">
        <v>6623</v>
      </c>
      <c r="B53" s="1">
        <v>617</v>
      </c>
      <c r="C53" s="2">
        <v>621</v>
      </c>
      <c r="D53" s="1">
        <v>625</v>
      </c>
      <c r="E53" s="1">
        <f t="shared" si="1"/>
        <v>8000</v>
      </c>
      <c r="F53" s="1">
        <f t="shared" si="0"/>
        <v>8000</v>
      </c>
      <c r="G53" s="1">
        <f t="shared" si="2"/>
        <v>0</v>
      </c>
      <c r="H53" s="1">
        <f t="shared" si="3"/>
        <v>0</v>
      </c>
      <c r="I53" s="36">
        <f t="shared" si="4"/>
        <v>1297.2874090738658</v>
      </c>
      <c r="J53" s="36">
        <f t="shared" si="5"/>
        <v>0</v>
      </c>
      <c r="K53" s="36">
        <f t="shared" si="6"/>
        <v>0</v>
      </c>
      <c r="L53" s="45">
        <f t="shared" si="7"/>
        <v>1297.2874090738658</v>
      </c>
    </row>
    <row r="54" spans="1:12" x14ac:dyDescent="0.25">
      <c r="A54" s="11">
        <v>7723</v>
      </c>
      <c r="B54" s="1">
        <v>727</v>
      </c>
      <c r="C54" s="2">
        <v>731</v>
      </c>
      <c r="D54" s="1">
        <v>736</v>
      </c>
      <c r="E54" s="1">
        <f t="shared" si="1"/>
        <v>9000</v>
      </c>
      <c r="F54" s="1">
        <f t="shared" si="0"/>
        <v>9000</v>
      </c>
      <c r="G54" s="1">
        <f t="shared" si="2"/>
        <v>0</v>
      </c>
      <c r="H54" s="1">
        <f t="shared" si="3"/>
        <v>0</v>
      </c>
      <c r="I54" s="36">
        <f t="shared" si="4"/>
        <v>1459.448335208099</v>
      </c>
      <c r="J54" s="36">
        <f t="shared" si="5"/>
        <v>0</v>
      </c>
      <c r="K54" s="36">
        <f t="shared" si="6"/>
        <v>0</v>
      </c>
      <c r="L54" s="45">
        <f t="shared" si="7"/>
        <v>1459.448335208099</v>
      </c>
    </row>
    <row r="55" spans="1:12" x14ac:dyDescent="0.25">
      <c r="A55" s="11">
        <v>2224</v>
      </c>
      <c r="B55" s="1">
        <v>577</v>
      </c>
      <c r="C55" s="2">
        <v>585</v>
      </c>
      <c r="D55" s="1">
        <v>591</v>
      </c>
      <c r="E55" s="1">
        <f t="shared" si="1"/>
        <v>14000</v>
      </c>
      <c r="F55" s="1">
        <f t="shared" si="0"/>
        <v>14000</v>
      </c>
      <c r="G55" s="1">
        <f t="shared" si="2"/>
        <v>0</v>
      </c>
      <c r="H55" s="1">
        <f t="shared" si="3"/>
        <v>0</v>
      </c>
      <c r="I55" s="36">
        <f t="shared" si="4"/>
        <v>2270.252965879265</v>
      </c>
      <c r="J55" s="36">
        <f t="shared" si="5"/>
        <v>0</v>
      </c>
      <c r="K55" s="36">
        <f t="shared" si="6"/>
        <v>0</v>
      </c>
      <c r="L55" s="45">
        <f t="shared" si="7"/>
        <v>2270.252965879265</v>
      </c>
    </row>
    <row r="56" spans="1:12" x14ac:dyDescent="0.25">
      <c r="A56" s="11">
        <v>3324</v>
      </c>
      <c r="B56" s="1">
        <v>290</v>
      </c>
      <c r="C56" s="2">
        <v>293</v>
      </c>
      <c r="D56" s="1">
        <v>293</v>
      </c>
      <c r="E56" s="1">
        <f t="shared" si="1"/>
        <v>3000</v>
      </c>
      <c r="F56" s="1">
        <f t="shared" si="0"/>
        <v>3000</v>
      </c>
      <c r="G56" s="1">
        <f t="shared" si="2"/>
        <v>0</v>
      </c>
      <c r="H56" s="1">
        <f t="shared" si="3"/>
        <v>0</v>
      </c>
      <c r="I56" s="36">
        <f t="shared" si="4"/>
        <v>486.48277840269964</v>
      </c>
      <c r="J56" s="36">
        <f t="shared" si="5"/>
        <v>0</v>
      </c>
      <c r="K56" s="36">
        <f t="shared" si="6"/>
        <v>0</v>
      </c>
      <c r="L56" s="45">
        <f t="shared" si="7"/>
        <v>486.48277840269964</v>
      </c>
    </row>
    <row r="57" spans="1:12" x14ac:dyDescent="0.25">
      <c r="A57" s="11">
        <v>4424</v>
      </c>
      <c r="B57" s="1">
        <v>845</v>
      </c>
      <c r="C57" s="2">
        <v>852</v>
      </c>
      <c r="D57" s="1">
        <v>860</v>
      </c>
      <c r="E57" s="1">
        <f t="shared" si="1"/>
        <v>15000</v>
      </c>
      <c r="F57" s="1">
        <f t="shared" si="0"/>
        <v>15000</v>
      </c>
      <c r="G57" s="1">
        <f t="shared" si="2"/>
        <v>0</v>
      </c>
      <c r="H57" s="1">
        <f t="shared" si="3"/>
        <v>0</v>
      </c>
      <c r="I57" s="36">
        <f t="shared" si="4"/>
        <v>2432.4138920134983</v>
      </c>
      <c r="J57" s="36">
        <f t="shared" si="5"/>
        <v>0</v>
      </c>
      <c r="K57" s="36">
        <f t="shared" si="6"/>
        <v>0</v>
      </c>
      <c r="L57" s="45">
        <f t="shared" si="7"/>
        <v>2432.4138920134983</v>
      </c>
    </row>
    <row r="58" spans="1:12" x14ac:dyDescent="0.25">
      <c r="A58" s="11">
        <v>5524</v>
      </c>
      <c r="B58" s="1">
        <v>995</v>
      </c>
      <c r="C58" s="2">
        <v>1000</v>
      </c>
      <c r="D58" s="1">
        <v>1005</v>
      </c>
      <c r="E58" s="1">
        <f t="shared" si="1"/>
        <v>10000</v>
      </c>
      <c r="F58" s="1">
        <f t="shared" si="0"/>
        <v>10000</v>
      </c>
      <c r="G58" s="1">
        <f t="shared" si="2"/>
        <v>0</v>
      </c>
      <c r="H58" s="1">
        <f t="shared" si="3"/>
        <v>0</v>
      </c>
      <c r="I58" s="36">
        <f t="shared" si="4"/>
        <v>1621.6092613423323</v>
      </c>
      <c r="J58" s="36">
        <f t="shared" si="5"/>
        <v>0</v>
      </c>
      <c r="K58" s="36">
        <f t="shared" si="6"/>
        <v>0</v>
      </c>
      <c r="L58" s="45">
        <f t="shared" si="7"/>
        <v>1621.6092613423323</v>
      </c>
    </row>
    <row r="59" spans="1:12" x14ac:dyDescent="0.25">
      <c r="A59" s="11">
        <v>6624</v>
      </c>
      <c r="B59" s="1">
        <v>410</v>
      </c>
      <c r="C59" s="2">
        <v>427</v>
      </c>
      <c r="D59" s="1">
        <v>434</v>
      </c>
      <c r="E59" s="1">
        <f t="shared" si="1"/>
        <v>24000</v>
      </c>
      <c r="F59" s="1">
        <f t="shared" si="0"/>
        <v>15000</v>
      </c>
      <c r="G59" s="1">
        <f t="shared" si="2"/>
        <v>5000</v>
      </c>
      <c r="H59" s="1">
        <f t="shared" si="3"/>
        <v>4000</v>
      </c>
      <c r="I59" s="36">
        <f t="shared" si="4"/>
        <v>2432.4138920134983</v>
      </c>
      <c r="J59" s="36">
        <f t="shared" si="5"/>
        <v>1216.2069460067491</v>
      </c>
      <c r="K59" s="36">
        <f t="shared" si="6"/>
        <v>1297.2874090738658</v>
      </c>
      <c r="L59" s="45">
        <f t="shared" si="7"/>
        <v>4945.908247094113</v>
      </c>
    </row>
    <row r="60" spans="1:12" x14ac:dyDescent="0.25">
      <c r="A60" s="11">
        <v>7724</v>
      </c>
      <c r="B60" s="19">
        <v>504</v>
      </c>
      <c r="C60" s="2">
        <v>509</v>
      </c>
      <c r="D60" s="1">
        <v>515</v>
      </c>
      <c r="E60" s="1">
        <f t="shared" si="1"/>
        <v>11000</v>
      </c>
      <c r="F60" s="1">
        <f t="shared" si="0"/>
        <v>11000</v>
      </c>
      <c r="G60" s="1">
        <f t="shared" si="2"/>
        <v>0</v>
      </c>
      <c r="H60" s="1">
        <f t="shared" si="3"/>
        <v>0</v>
      </c>
      <c r="I60" s="36">
        <f t="shared" si="4"/>
        <v>1783.7701874765653</v>
      </c>
      <c r="J60" s="36">
        <f t="shared" si="5"/>
        <v>0</v>
      </c>
      <c r="K60" s="36">
        <f t="shared" si="6"/>
        <v>0</v>
      </c>
      <c r="L60" s="45">
        <f t="shared" si="7"/>
        <v>1783.7701874765653</v>
      </c>
    </row>
    <row r="61" spans="1:12" x14ac:dyDescent="0.25">
      <c r="A61" s="13" t="s">
        <v>8</v>
      </c>
      <c r="B61" s="1"/>
      <c r="C61" s="2"/>
      <c r="D61" s="1"/>
      <c r="E61" s="4">
        <f>SUM(E3:E60)</f>
        <v>494126</v>
      </c>
      <c r="L61" s="4">
        <f>SUM(L3:L60)</f>
        <v>81749.539048346443</v>
      </c>
    </row>
  </sheetData>
  <mergeCells count="1">
    <mergeCell ref="F1:G1"/>
  </mergeCells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62"/>
  <sheetViews>
    <sheetView workbookViewId="0"/>
  </sheetViews>
  <sheetFormatPr defaultRowHeight="15" x14ac:dyDescent="0.25"/>
  <cols>
    <col min="1" max="1" width="7.28515625" bestFit="1" customWidth="1"/>
    <col min="2" max="2" width="10.140625" bestFit="1" customWidth="1"/>
    <col min="3" max="3" width="10.140625" customWidth="1"/>
    <col min="4" max="4" width="10.140625" bestFit="1" customWidth="1"/>
    <col min="5" max="5" width="12.85546875" bestFit="1" customWidth="1"/>
    <col min="6" max="8" width="9.85546875" bestFit="1" customWidth="1"/>
    <col min="9" max="11" width="15" bestFit="1" customWidth="1"/>
    <col min="12" max="12" width="11.85546875" bestFit="1" customWidth="1"/>
  </cols>
  <sheetData>
    <row r="1" spans="1:12" x14ac:dyDescent="0.25">
      <c r="F1" s="54" t="s">
        <v>31</v>
      </c>
      <c r="G1" s="54"/>
      <c r="H1" s="41"/>
      <c r="I1" s="42" t="s">
        <v>32</v>
      </c>
      <c r="J1" s="42" t="s">
        <v>33</v>
      </c>
      <c r="K1" s="42" t="s">
        <v>34</v>
      </c>
      <c r="L1" s="43">
        <f>summary!B25</f>
        <v>0.16216092613423322</v>
      </c>
    </row>
    <row r="2" spans="1:12" x14ac:dyDescent="0.25">
      <c r="A2" s="6" t="s">
        <v>6</v>
      </c>
      <c r="B2" s="6">
        <f>'A block'!B2</f>
        <v>45961</v>
      </c>
      <c r="C2" s="6" t="str">
        <f>'A block'!C2</f>
        <v>15.11.2025</v>
      </c>
      <c r="D2" s="18">
        <f>'A block'!D2</f>
        <v>45991</v>
      </c>
      <c r="E2" s="6" t="s">
        <v>7</v>
      </c>
      <c r="F2" s="41" t="s">
        <v>35</v>
      </c>
      <c r="G2" s="41" t="s">
        <v>36</v>
      </c>
      <c r="H2" s="41" t="s">
        <v>37</v>
      </c>
      <c r="I2" s="41" t="s">
        <v>38</v>
      </c>
      <c r="J2" s="41" t="s">
        <v>39</v>
      </c>
      <c r="K2" s="41" t="s">
        <v>40</v>
      </c>
      <c r="L2" s="44" t="s">
        <v>41</v>
      </c>
    </row>
    <row r="3" spans="1:12" x14ac:dyDescent="0.25">
      <c r="A3" s="1">
        <v>1125</v>
      </c>
      <c r="B3" s="1">
        <v>676</v>
      </c>
      <c r="C3" s="2">
        <v>679</v>
      </c>
      <c r="D3" s="1">
        <v>683</v>
      </c>
      <c r="E3" s="1">
        <f>SUM(D3-B3)*1000</f>
        <v>7000</v>
      </c>
      <c r="F3" s="1">
        <f t="shared" ref="F3:F61" si="0">IF(E3 &gt; 15000, 15000, E3)</f>
        <v>7000</v>
      </c>
      <c r="G3" s="1">
        <f>IF(E3 &gt; 20000, 5000, IF(E3 &gt; 15000, (E3-15000), 0))</f>
        <v>0</v>
      </c>
      <c r="H3" s="1">
        <f>IF(E3&gt;20000,E3-20000,0)</f>
        <v>0</v>
      </c>
      <c r="I3" s="36">
        <f>F3*$L$1</f>
        <v>1135.1264829396325</v>
      </c>
      <c r="J3" s="36">
        <f>G3*($L$1 *1.5)</f>
        <v>0</v>
      </c>
      <c r="K3" s="36">
        <f>H3*($L$1 *2)</f>
        <v>0</v>
      </c>
      <c r="L3" s="45">
        <f>SUM(I3:K3)</f>
        <v>1135.1264829396325</v>
      </c>
    </row>
    <row r="4" spans="1:12" x14ac:dyDescent="0.25">
      <c r="A4" s="1">
        <v>2225</v>
      </c>
      <c r="B4" s="1">
        <v>577</v>
      </c>
      <c r="C4" s="2">
        <v>582</v>
      </c>
      <c r="D4" s="1">
        <v>588</v>
      </c>
      <c r="E4" s="1">
        <f t="shared" ref="E4:E61" si="1">SUM(D4-B4)*1000</f>
        <v>11000</v>
      </c>
      <c r="F4" s="1">
        <f t="shared" si="0"/>
        <v>11000</v>
      </c>
      <c r="G4" s="1">
        <f t="shared" ref="G4:G61" si="2">IF(E4 &gt; 20000, 5000, IF(E4 &gt; 15000, (E4-15000), 0))</f>
        <v>0</v>
      </c>
      <c r="H4" s="1">
        <f t="shared" ref="H4:H61" si="3">IF(E4&gt;20000,E4-20000,0)</f>
        <v>0</v>
      </c>
      <c r="I4" s="36">
        <f t="shared" ref="I4:I61" si="4">F4*$L$1</f>
        <v>1783.7701874765653</v>
      </c>
      <c r="J4" s="36">
        <f t="shared" ref="J4:J61" si="5">G4*($L$1 *1.5)</f>
        <v>0</v>
      </c>
      <c r="K4" s="36">
        <f t="shared" ref="K4:K61" si="6">H4*($L$1 *2)</f>
        <v>0</v>
      </c>
      <c r="L4" s="45">
        <f t="shared" ref="L4:L61" si="7">SUM(I4:K4)</f>
        <v>1783.7701874765653</v>
      </c>
    </row>
    <row r="5" spans="1:12" x14ac:dyDescent="0.25">
      <c r="A5" s="1">
        <v>3325</v>
      </c>
      <c r="B5" s="1">
        <v>472</v>
      </c>
      <c r="C5" s="2">
        <v>474</v>
      </c>
      <c r="D5" s="1">
        <v>477</v>
      </c>
      <c r="E5" s="1">
        <f t="shared" si="1"/>
        <v>5000</v>
      </c>
      <c r="F5" s="1">
        <f t="shared" si="0"/>
        <v>5000</v>
      </c>
      <c r="G5" s="1">
        <f t="shared" si="2"/>
        <v>0</v>
      </c>
      <c r="H5" s="1">
        <f t="shared" si="3"/>
        <v>0</v>
      </c>
      <c r="I5" s="36">
        <f t="shared" si="4"/>
        <v>810.80463067116614</v>
      </c>
      <c r="J5" s="36">
        <f t="shared" si="5"/>
        <v>0</v>
      </c>
      <c r="K5" s="36">
        <f t="shared" si="6"/>
        <v>0</v>
      </c>
      <c r="L5" s="45">
        <f t="shared" si="7"/>
        <v>810.80463067116614</v>
      </c>
    </row>
    <row r="6" spans="1:12" x14ac:dyDescent="0.25">
      <c r="A6" s="1">
        <v>4425</v>
      </c>
      <c r="B6" s="1">
        <v>695</v>
      </c>
      <c r="C6" s="2">
        <v>699</v>
      </c>
      <c r="D6" s="1">
        <v>700</v>
      </c>
      <c r="E6" s="1">
        <f t="shared" si="1"/>
        <v>5000</v>
      </c>
      <c r="F6" s="1">
        <f t="shared" si="0"/>
        <v>5000</v>
      </c>
      <c r="G6" s="1">
        <f t="shared" si="2"/>
        <v>0</v>
      </c>
      <c r="H6" s="1">
        <f t="shared" si="3"/>
        <v>0</v>
      </c>
      <c r="I6" s="36">
        <f t="shared" si="4"/>
        <v>810.80463067116614</v>
      </c>
      <c r="J6" s="36">
        <f t="shared" si="5"/>
        <v>0</v>
      </c>
      <c r="K6" s="36">
        <f t="shared" si="6"/>
        <v>0</v>
      </c>
      <c r="L6" s="45">
        <f t="shared" si="7"/>
        <v>810.80463067116614</v>
      </c>
    </row>
    <row r="7" spans="1:12" x14ac:dyDescent="0.25">
      <c r="A7" s="1">
        <v>5525</v>
      </c>
      <c r="B7" s="1">
        <v>481</v>
      </c>
      <c r="C7" s="2">
        <v>484</v>
      </c>
      <c r="D7" s="1">
        <v>489</v>
      </c>
      <c r="E7" s="1">
        <f t="shared" si="1"/>
        <v>8000</v>
      </c>
      <c r="F7" s="1">
        <f t="shared" si="0"/>
        <v>8000</v>
      </c>
      <c r="G7" s="1">
        <f t="shared" si="2"/>
        <v>0</v>
      </c>
      <c r="H7" s="1">
        <f t="shared" si="3"/>
        <v>0</v>
      </c>
      <c r="I7" s="36">
        <f t="shared" si="4"/>
        <v>1297.2874090738658</v>
      </c>
      <c r="J7" s="36">
        <f t="shared" si="5"/>
        <v>0</v>
      </c>
      <c r="K7" s="36">
        <f t="shared" si="6"/>
        <v>0</v>
      </c>
      <c r="L7" s="45">
        <f t="shared" si="7"/>
        <v>1297.2874090738658</v>
      </c>
    </row>
    <row r="8" spans="1:12" x14ac:dyDescent="0.25">
      <c r="A8" s="1">
        <v>6625</v>
      </c>
      <c r="B8" s="1">
        <v>521</v>
      </c>
      <c r="C8" s="2">
        <v>525</v>
      </c>
      <c r="D8" s="1">
        <v>529</v>
      </c>
      <c r="E8" s="1">
        <f t="shared" si="1"/>
        <v>8000</v>
      </c>
      <c r="F8" s="1">
        <f t="shared" si="0"/>
        <v>8000</v>
      </c>
      <c r="G8" s="1">
        <f t="shared" si="2"/>
        <v>0</v>
      </c>
      <c r="H8" s="1">
        <f t="shared" si="3"/>
        <v>0</v>
      </c>
      <c r="I8" s="36">
        <f t="shared" si="4"/>
        <v>1297.2874090738658</v>
      </c>
      <c r="J8" s="36">
        <f t="shared" si="5"/>
        <v>0</v>
      </c>
      <c r="K8" s="36">
        <f t="shared" si="6"/>
        <v>0</v>
      </c>
      <c r="L8" s="45">
        <f t="shared" si="7"/>
        <v>1297.2874090738658</v>
      </c>
    </row>
    <row r="9" spans="1:12" x14ac:dyDescent="0.25">
      <c r="A9" s="1">
        <v>7725</v>
      </c>
      <c r="B9" s="1">
        <v>429</v>
      </c>
      <c r="C9" s="2">
        <v>435</v>
      </c>
      <c r="D9" s="1">
        <v>442</v>
      </c>
      <c r="E9" s="1">
        <f t="shared" si="1"/>
        <v>13000</v>
      </c>
      <c r="F9" s="1">
        <f t="shared" si="0"/>
        <v>13000</v>
      </c>
      <c r="G9" s="1">
        <f t="shared" si="2"/>
        <v>0</v>
      </c>
      <c r="H9" s="1">
        <f t="shared" si="3"/>
        <v>0</v>
      </c>
      <c r="I9" s="36">
        <f t="shared" si="4"/>
        <v>2108.0920397450318</v>
      </c>
      <c r="J9" s="36">
        <f t="shared" si="5"/>
        <v>0</v>
      </c>
      <c r="K9" s="36">
        <f t="shared" si="6"/>
        <v>0</v>
      </c>
      <c r="L9" s="45">
        <f t="shared" si="7"/>
        <v>2108.0920397450318</v>
      </c>
    </row>
    <row r="10" spans="1:12" x14ac:dyDescent="0.25">
      <c r="A10" s="1">
        <v>1126</v>
      </c>
      <c r="B10" s="1">
        <v>391</v>
      </c>
      <c r="C10" s="2">
        <v>394</v>
      </c>
      <c r="D10" s="1">
        <v>398</v>
      </c>
      <c r="E10" s="1">
        <f t="shared" si="1"/>
        <v>7000</v>
      </c>
      <c r="F10" s="1">
        <f t="shared" si="0"/>
        <v>7000</v>
      </c>
      <c r="G10" s="1">
        <f t="shared" si="2"/>
        <v>0</v>
      </c>
      <c r="H10" s="1">
        <f t="shared" si="3"/>
        <v>0</v>
      </c>
      <c r="I10" s="36">
        <f t="shared" si="4"/>
        <v>1135.1264829396325</v>
      </c>
      <c r="J10" s="36">
        <f t="shared" si="5"/>
        <v>0</v>
      </c>
      <c r="K10" s="36">
        <f t="shared" si="6"/>
        <v>0</v>
      </c>
      <c r="L10" s="45">
        <f t="shared" si="7"/>
        <v>1135.1264829396325</v>
      </c>
    </row>
    <row r="11" spans="1:12" x14ac:dyDescent="0.25">
      <c r="A11" s="1">
        <v>2226</v>
      </c>
      <c r="B11" s="1">
        <v>482</v>
      </c>
      <c r="C11" s="2">
        <v>486</v>
      </c>
      <c r="D11" s="1">
        <v>491</v>
      </c>
      <c r="E11" s="1">
        <f t="shared" si="1"/>
        <v>9000</v>
      </c>
      <c r="F11" s="1">
        <f t="shared" si="0"/>
        <v>9000</v>
      </c>
      <c r="G11" s="1">
        <f t="shared" si="2"/>
        <v>0</v>
      </c>
      <c r="H11" s="1">
        <f t="shared" si="3"/>
        <v>0</v>
      </c>
      <c r="I11" s="36">
        <f t="shared" si="4"/>
        <v>1459.448335208099</v>
      </c>
      <c r="J11" s="36">
        <f t="shared" si="5"/>
        <v>0</v>
      </c>
      <c r="K11" s="36">
        <f t="shared" si="6"/>
        <v>0</v>
      </c>
      <c r="L11" s="45">
        <f t="shared" si="7"/>
        <v>1459.448335208099</v>
      </c>
    </row>
    <row r="12" spans="1:12" x14ac:dyDescent="0.25">
      <c r="A12" s="1">
        <v>3326</v>
      </c>
      <c r="B12" s="1">
        <v>155</v>
      </c>
      <c r="C12" s="2">
        <v>156</v>
      </c>
      <c r="D12" s="1">
        <v>156</v>
      </c>
      <c r="E12" s="1">
        <f t="shared" si="1"/>
        <v>1000</v>
      </c>
      <c r="F12" s="1">
        <f t="shared" si="0"/>
        <v>1000</v>
      </c>
      <c r="G12" s="1">
        <f t="shared" si="2"/>
        <v>0</v>
      </c>
      <c r="H12" s="1">
        <f t="shared" si="3"/>
        <v>0</v>
      </c>
      <c r="I12" s="36">
        <f t="shared" si="4"/>
        <v>162.16092613423322</v>
      </c>
      <c r="J12" s="36">
        <f t="shared" si="5"/>
        <v>0</v>
      </c>
      <c r="K12" s="36">
        <f t="shared" si="6"/>
        <v>0</v>
      </c>
      <c r="L12" s="45">
        <f t="shared" si="7"/>
        <v>162.16092613423322</v>
      </c>
    </row>
    <row r="13" spans="1:12" x14ac:dyDescent="0.25">
      <c r="A13" s="1">
        <v>4426</v>
      </c>
      <c r="B13" s="1">
        <v>356</v>
      </c>
      <c r="C13" s="2">
        <v>358</v>
      </c>
      <c r="D13" s="1">
        <v>360</v>
      </c>
      <c r="E13" s="1">
        <f t="shared" si="1"/>
        <v>4000</v>
      </c>
      <c r="F13" s="1">
        <f t="shared" si="0"/>
        <v>4000</v>
      </c>
      <c r="G13" s="1">
        <f t="shared" si="2"/>
        <v>0</v>
      </c>
      <c r="H13" s="1">
        <f t="shared" si="3"/>
        <v>0</v>
      </c>
      <c r="I13" s="36">
        <f t="shared" si="4"/>
        <v>648.64370453693289</v>
      </c>
      <c r="J13" s="36">
        <f t="shared" si="5"/>
        <v>0</v>
      </c>
      <c r="K13" s="36">
        <f t="shared" si="6"/>
        <v>0</v>
      </c>
      <c r="L13" s="45">
        <f t="shared" si="7"/>
        <v>648.64370453693289</v>
      </c>
    </row>
    <row r="14" spans="1:12" x14ac:dyDescent="0.25">
      <c r="A14" s="1">
        <v>5526</v>
      </c>
      <c r="B14" s="1">
        <v>393</v>
      </c>
      <c r="C14" s="2">
        <v>397</v>
      </c>
      <c r="D14" s="1">
        <v>401</v>
      </c>
      <c r="E14" s="1">
        <f t="shared" si="1"/>
        <v>8000</v>
      </c>
      <c r="F14" s="1">
        <f t="shared" si="0"/>
        <v>8000</v>
      </c>
      <c r="G14" s="1">
        <f t="shared" si="2"/>
        <v>0</v>
      </c>
      <c r="H14" s="1">
        <f t="shared" si="3"/>
        <v>0</v>
      </c>
      <c r="I14" s="36">
        <f t="shared" si="4"/>
        <v>1297.2874090738658</v>
      </c>
      <c r="J14" s="36">
        <f t="shared" si="5"/>
        <v>0</v>
      </c>
      <c r="K14" s="36">
        <f t="shared" si="6"/>
        <v>0</v>
      </c>
      <c r="L14" s="45">
        <f t="shared" si="7"/>
        <v>1297.2874090738658</v>
      </c>
    </row>
    <row r="15" spans="1:12" x14ac:dyDescent="0.25">
      <c r="A15" s="1">
        <v>6626</v>
      </c>
      <c r="B15" s="1">
        <v>673</v>
      </c>
      <c r="C15" s="2">
        <v>682</v>
      </c>
      <c r="D15" s="1">
        <v>689</v>
      </c>
      <c r="E15" s="1">
        <f t="shared" si="1"/>
        <v>16000</v>
      </c>
      <c r="F15" s="1">
        <f t="shared" si="0"/>
        <v>15000</v>
      </c>
      <c r="G15" s="1">
        <f t="shared" si="2"/>
        <v>1000</v>
      </c>
      <c r="H15" s="1">
        <f t="shared" si="3"/>
        <v>0</v>
      </c>
      <c r="I15" s="36">
        <f t="shared" si="4"/>
        <v>2432.4138920134983</v>
      </c>
      <c r="J15" s="36">
        <f t="shared" si="5"/>
        <v>243.24138920134982</v>
      </c>
      <c r="K15" s="36">
        <f t="shared" si="6"/>
        <v>0</v>
      </c>
      <c r="L15" s="45">
        <f t="shared" si="7"/>
        <v>2675.6552812148479</v>
      </c>
    </row>
    <row r="16" spans="1:12" x14ac:dyDescent="0.25">
      <c r="A16" s="1">
        <v>7726</v>
      </c>
      <c r="B16" s="1">
        <v>462</v>
      </c>
      <c r="C16" s="2">
        <v>466</v>
      </c>
      <c r="D16" s="1">
        <v>470</v>
      </c>
      <c r="E16" s="1">
        <f t="shared" si="1"/>
        <v>8000</v>
      </c>
      <c r="F16" s="1">
        <f t="shared" si="0"/>
        <v>8000</v>
      </c>
      <c r="G16" s="1">
        <f t="shared" si="2"/>
        <v>0</v>
      </c>
      <c r="H16" s="1">
        <f t="shared" si="3"/>
        <v>0</v>
      </c>
      <c r="I16" s="36">
        <f t="shared" si="4"/>
        <v>1297.2874090738658</v>
      </c>
      <c r="J16" s="36">
        <f t="shared" si="5"/>
        <v>0</v>
      </c>
      <c r="K16" s="36">
        <f t="shared" si="6"/>
        <v>0</v>
      </c>
      <c r="L16" s="45">
        <f t="shared" si="7"/>
        <v>1297.2874090738658</v>
      </c>
    </row>
    <row r="17" spans="1:12" x14ac:dyDescent="0.25">
      <c r="A17" s="1">
        <v>1127</v>
      </c>
      <c r="B17" s="1">
        <v>339</v>
      </c>
      <c r="C17" s="2">
        <v>343</v>
      </c>
      <c r="D17" s="1">
        <v>347</v>
      </c>
      <c r="E17" s="1">
        <f t="shared" si="1"/>
        <v>8000</v>
      </c>
      <c r="F17" s="1">
        <f t="shared" si="0"/>
        <v>8000</v>
      </c>
      <c r="G17" s="1">
        <f t="shared" si="2"/>
        <v>0</v>
      </c>
      <c r="H17" s="1">
        <f t="shared" si="3"/>
        <v>0</v>
      </c>
      <c r="I17" s="36">
        <f t="shared" si="4"/>
        <v>1297.2874090738658</v>
      </c>
      <c r="J17" s="36">
        <f t="shared" si="5"/>
        <v>0</v>
      </c>
      <c r="K17" s="36">
        <f t="shared" si="6"/>
        <v>0</v>
      </c>
      <c r="L17" s="45">
        <f t="shared" si="7"/>
        <v>1297.2874090738658</v>
      </c>
    </row>
    <row r="18" spans="1:12" x14ac:dyDescent="0.25">
      <c r="A18" s="1">
        <v>2227</v>
      </c>
      <c r="B18" s="1">
        <v>156</v>
      </c>
      <c r="C18" s="2">
        <v>156</v>
      </c>
      <c r="D18" s="1">
        <v>157</v>
      </c>
      <c r="E18" s="1">
        <f t="shared" si="1"/>
        <v>1000</v>
      </c>
      <c r="F18" s="1">
        <f t="shared" si="0"/>
        <v>1000</v>
      </c>
      <c r="G18" s="1">
        <f t="shared" si="2"/>
        <v>0</v>
      </c>
      <c r="H18" s="1">
        <f t="shared" si="3"/>
        <v>0</v>
      </c>
      <c r="I18" s="36">
        <f t="shared" si="4"/>
        <v>162.16092613423322</v>
      </c>
      <c r="J18" s="36">
        <f t="shared" si="5"/>
        <v>0</v>
      </c>
      <c r="K18" s="36">
        <f t="shared" si="6"/>
        <v>0</v>
      </c>
      <c r="L18" s="45">
        <f t="shared" si="7"/>
        <v>162.16092613423322</v>
      </c>
    </row>
    <row r="19" spans="1:12" x14ac:dyDescent="0.25">
      <c r="A19" s="1">
        <v>3327</v>
      </c>
      <c r="B19" s="19">
        <v>1292</v>
      </c>
      <c r="C19" s="51">
        <v>1304</v>
      </c>
      <c r="D19" s="1">
        <v>1316</v>
      </c>
      <c r="E19" s="1">
        <f t="shared" si="1"/>
        <v>24000</v>
      </c>
      <c r="F19" s="1">
        <f t="shared" si="0"/>
        <v>15000</v>
      </c>
      <c r="G19" s="1">
        <f t="shared" si="2"/>
        <v>5000</v>
      </c>
      <c r="H19" s="1">
        <f t="shared" si="3"/>
        <v>4000</v>
      </c>
      <c r="I19" s="36">
        <f t="shared" si="4"/>
        <v>2432.4138920134983</v>
      </c>
      <c r="J19" s="36">
        <f t="shared" si="5"/>
        <v>1216.2069460067491</v>
      </c>
      <c r="K19" s="36">
        <f t="shared" si="6"/>
        <v>1297.2874090738658</v>
      </c>
      <c r="L19" s="45">
        <f t="shared" si="7"/>
        <v>4945.908247094113</v>
      </c>
    </row>
    <row r="20" spans="1:12" x14ac:dyDescent="0.25">
      <c r="A20" s="14">
        <v>4427</v>
      </c>
      <c r="B20" s="1">
        <v>49.1</v>
      </c>
      <c r="C20" s="2">
        <v>49.982999999999997</v>
      </c>
      <c r="D20" s="1">
        <v>51.387</v>
      </c>
      <c r="E20" s="1">
        <f t="shared" si="1"/>
        <v>2286.9999999999991</v>
      </c>
      <c r="F20" s="1">
        <f t="shared" si="0"/>
        <v>2286.9999999999991</v>
      </c>
      <c r="G20" s="1">
        <f t="shared" si="2"/>
        <v>0</v>
      </c>
      <c r="H20" s="1">
        <f t="shared" si="3"/>
        <v>0</v>
      </c>
      <c r="I20" s="36">
        <f t="shared" si="4"/>
        <v>370.86203806899124</v>
      </c>
      <c r="J20" s="36">
        <f t="shared" si="5"/>
        <v>0</v>
      </c>
      <c r="K20" s="36">
        <f t="shared" si="6"/>
        <v>0</v>
      </c>
      <c r="L20" s="45">
        <f t="shared" si="7"/>
        <v>370.86203806899124</v>
      </c>
    </row>
    <row r="21" spans="1:12" x14ac:dyDescent="0.25">
      <c r="A21" s="1">
        <v>5527</v>
      </c>
      <c r="B21" s="1">
        <v>395</v>
      </c>
      <c r="C21" s="2">
        <v>398</v>
      </c>
      <c r="D21" s="1">
        <v>402</v>
      </c>
      <c r="E21" s="1">
        <f t="shared" si="1"/>
        <v>7000</v>
      </c>
      <c r="F21" s="1">
        <f t="shared" si="0"/>
        <v>7000</v>
      </c>
      <c r="G21" s="1">
        <f t="shared" si="2"/>
        <v>0</v>
      </c>
      <c r="H21" s="1">
        <f t="shared" si="3"/>
        <v>0</v>
      </c>
      <c r="I21" s="36">
        <f t="shared" si="4"/>
        <v>1135.1264829396325</v>
      </c>
      <c r="J21" s="36">
        <f t="shared" si="5"/>
        <v>0</v>
      </c>
      <c r="K21" s="36">
        <f t="shared" si="6"/>
        <v>0</v>
      </c>
      <c r="L21" s="45">
        <f t="shared" si="7"/>
        <v>1135.1264829396325</v>
      </c>
    </row>
    <row r="22" spans="1:12" x14ac:dyDescent="0.25">
      <c r="A22" s="1">
        <v>6627</v>
      </c>
      <c r="B22" s="1">
        <v>532</v>
      </c>
      <c r="C22" s="2">
        <v>536</v>
      </c>
      <c r="D22" s="1">
        <v>540</v>
      </c>
      <c r="E22" s="1">
        <f t="shared" si="1"/>
        <v>8000</v>
      </c>
      <c r="F22" s="1">
        <f t="shared" si="0"/>
        <v>8000</v>
      </c>
      <c r="G22" s="1">
        <f t="shared" si="2"/>
        <v>0</v>
      </c>
      <c r="H22" s="1">
        <f t="shared" si="3"/>
        <v>0</v>
      </c>
      <c r="I22" s="36">
        <f t="shared" si="4"/>
        <v>1297.2874090738658</v>
      </c>
      <c r="J22" s="36">
        <f t="shared" si="5"/>
        <v>0</v>
      </c>
      <c r="K22" s="36">
        <f t="shared" si="6"/>
        <v>0</v>
      </c>
      <c r="L22" s="45">
        <f t="shared" si="7"/>
        <v>1297.2874090738658</v>
      </c>
    </row>
    <row r="23" spans="1:12" x14ac:dyDescent="0.25">
      <c r="A23" s="1">
        <v>7727</v>
      </c>
      <c r="B23" s="1">
        <v>385</v>
      </c>
      <c r="C23" s="2">
        <v>393</v>
      </c>
      <c r="D23" s="1">
        <v>400</v>
      </c>
      <c r="E23" s="1">
        <f t="shared" si="1"/>
        <v>15000</v>
      </c>
      <c r="F23" s="1">
        <f t="shared" si="0"/>
        <v>15000</v>
      </c>
      <c r="G23" s="1">
        <f t="shared" si="2"/>
        <v>0</v>
      </c>
      <c r="H23" s="1">
        <f t="shared" si="3"/>
        <v>0</v>
      </c>
      <c r="I23" s="36">
        <f t="shared" si="4"/>
        <v>2432.4138920134983</v>
      </c>
      <c r="J23" s="36">
        <f t="shared" si="5"/>
        <v>0</v>
      </c>
      <c r="K23" s="36">
        <f t="shared" si="6"/>
        <v>0</v>
      </c>
      <c r="L23" s="45">
        <f t="shared" si="7"/>
        <v>2432.4138920134983</v>
      </c>
    </row>
    <row r="24" spans="1:12" x14ac:dyDescent="0.25">
      <c r="A24" s="1">
        <v>1128</v>
      </c>
      <c r="B24" s="1">
        <v>342</v>
      </c>
      <c r="C24" s="2">
        <v>346</v>
      </c>
      <c r="D24" s="1">
        <v>351</v>
      </c>
      <c r="E24" s="1">
        <f t="shared" si="1"/>
        <v>9000</v>
      </c>
      <c r="F24" s="1">
        <f t="shared" si="0"/>
        <v>9000</v>
      </c>
      <c r="G24" s="1">
        <f t="shared" si="2"/>
        <v>0</v>
      </c>
      <c r="H24" s="1">
        <f t="shared" si="3"/>
        <v>0</v>
      </c>
      <c r="I24" s="36">
        <f t="shared" si="4"/>
        <v>1459.448335208099</v>
      </c>
      <c r="J24" s="36">
        <f t="shared" si="5"/>
        <v>0</v>
      </c>
      <c r="K24" s="36">
        <f t="shared" si="6"/>
        <v>0</v>
      </c>
      <c r="L24" s="45">
        <f t="shared" si="7"/>
        <v>1459.448335208099</v>
      </c>
    </row>
    <row r="25" spans="1:12" x14ac:dyDescent="0.25">
      <c r="A25" s="1">
        <v>2228</v>
      </c>
      <c r="B25" s="1">
        <v>450</v>
      </c>
      <c r="C25" s="2">
        <v>451</v>
      </c>
      <c r="D25" s="1">
        <v>456</v>
      </c>
      <c r="E25" s="1">
        <f t="shared" si="1"/>
        <v>6000</v>
      </c>
      <c r="F25" s="1">
        <f t="shared" si="0"/>
        <v>6000</v>
      </c>
      <c r="G25" s="1">
        <f t="shared" si="2"/>
        <v>0</v>
      </c>
      <c r="H25" s="1">
        <f t="shared" si="3"/>
        <v>0</v>
      </c>
      <c r="I25" s="36">
        <f t="shared" si="4"/>
        <v>972.96555680539927</v>
      </c>
      <c r="J25" s="36">
        <f t="shared" si="5"/>
        <v>0</v>
      </c>
      <c r="K25" s="36">
        <f t="shared" si="6"/>
        <v>0</v>
      </c>
      <c r="L25" s="45">
        <f t="shared" si="7"/>
        <v>972.96555680539927</v>
      </c>
    </row>
    <row r="26" spans="1:12" x14ac:dyDescent="0.25">
      <c r="A26" s="14">
        <v>3328</v>
      </c>
      <c r="B26" s="1">
        <v>83.92</v>
      </c>
      <c r="C26" s="8">
        <v>87.495999999999995</v>
      </c>
      <c r="D26" s="1">
        <v>91.695999999999998</v>
      </c>
      <c r="E26" s="1">
        <f t="shared" si="1"/>
        <v>7775.9999999999964</v>
      </c>
      <c r="F26" s="1">
        <f t="shared" si="0"/>
        <v>7775.9999999999964</v>
      </c>
      <c r="G26" s="1">
        <f t="shared" si="2"/>
        <v>0</v>
      </c>
      <c r="H26" s="1">
        <f t="shared" si="3"/>
        <v>0</v>
      </c>
      <c r="I26" s="36">
        <f t="shared" si="4"/>
        <v>1260.9633616197968</v>
      </c>
      <c r="J26" s="36">
        <f t="shared" si="5"/>
        <v>0</v>
      </c>
      <c r="K26" s="36">
        <f t="shared" si="6"/>
        <v>0</v>
      </c>
      <c r="L26" s="45">
        <f t="shared" si="7"/>
        <v>1260.9633616197968</v>
      </c>
    </row>
    <row r="27" spans="1:12" x14ac:dyDescent="0.25">
      <c r="A27" s="1">
        <v>4428</v>
      </c>
      <c r="B27" s="1">
        <v>695</v>
      </c>
      <c r="C27" s="2">
        <v>700</v>
      </c>
      <c r="D27" s="1">
        <v>706</v>
      </c>
      <c r="E27" s="1">
        <f t="shared" si="1"/>
        <v>11000</v>
      </c>
      <c r="F27" s="1">
        <f t="shared" si="0"/>
        <v>11000</v>
      </c>
      <c r="G27" s="1">
        <f t="shared" si="2"/>
        <v>0</v>
      </c>
      <c r="H27" s="1">
        <f t="shared" si="3"/>
        <v>0</v>
      </c>
      <c r="I27" s="36">
        <f t="shared" si="4"/>
        <v>1783.7701874765653</v>
      </c>
      <c r="J27" s="36">
        <f t="shared" si="5"/>
        <v>0</v>
      </c>
      <c r="K27" s="36">
        <f t="shared" si="6"/>
        <v>0</v>
      </c>
      <c r="L27" s="45">
        <f t="shared" si="7"/>
        <v>1783.7701874765653</v>
      </c>
    </row>
    <row r="28" spans="1:12" x14ac:dyDescent="0.25">
      <c r="A28" s="1">
        <v>5528</v>
      </c>
      <c r="B28" s="1">
        <v>373</v>
      </c>
      <c r="C28" s="2">
        <v>377</v>
      </c>
      <c r="D28" s="1">
        <v>381</v>
      </c>
      <c r="E28" s="1">
        <f t="shared" si="1"/>
        <v>8000</v>
      </c>
      <c r="F28" s="1">
        <f t="shared" si="0"/>
        <v>8000</v>
      </c>
      <c r="G28" s="1">
        <f t="shared" si="2"/>
        <v>0</v>
      </c>
      <c r="H28" s="1">
        <f t="shared" si="3"/>
        <v>0</v>
      </c>
      <c r="I28" s="36">
        <f t="shared" si="4"/>
        <v>1297.2874090738658</v>
      </c>
      <c r="J28" s="36">
        <f t="shared" si="5"/>
        <v>0</v>
      </c>
      <c r="K28" s="36">
        <f t="shared" si="6"/>
        <v>0</v>
      </c>
      <c r="L28" s="45">
        <f t="shared" si="7"/>
        <v>1297.2874090738658</v>
      </c>
    </row>
    <row r="29" spans="1:12" x14ac:dyDescent="0.25">
      <c r="A29" s="14">
        <v>6628</v>
      </c>
      <c r="B29" s="1">
        <v>70.444000000000003</v>
      </c>
      <c r="C29" s="52">
        <v>70.45</v>
      </c>
      <c r="D29" s="1">
        <v>70.457999999999998</v>
      </c>
      <c r="E29" s="1">
        <f t="shared" si="1"/>
        <v>13.999999999995794</v>
      </c>
      <c r="F29" s="1">
        <f t="shared" si="0"/>
        <v>13.999999999995794</v>
      </c>
      <c r="G29" s="1">
        <f t="shared" si="2"/>
        <v>0</v>
      </c>
      <c r="H29" s="1">
        <f t="shared" si="3"/>
        <v>0</v>
      </c>
      <c r="I29" s="36">
        <f t="shared" si="4"/>
        <v>2.2702529658785831</v>
      </c>
      <c r="J29" s="36">
        <f t="shared" si="5"/>
        <v>0</v>
      </c>
      <c r="K29" s="36">
        <f t="shared" si="6"/>
        <v>0</v>
      </c>
      <c r="L29" s="45">
        <f t="shared" si="7"/>
        <v>2.2702529658785831</v>
      </c>
    </row>
    <row r="30" spans="1:12" x14ac:dyDescent="0.25">
      <c r="A30" s="1">
        <v>7728</v>
      </c>
      <c r="B30" s="1">
        <v>527</v>
      </c>
      <c r="C30" s="2">
        <v>528</v>
      </c>
      <c r="D30" s="1">
        <v>529</v>
      </c>
      <c r="E30" s="1">
        <f t="shared" si="1"/>
        <v>2000</v>
      </c>
      <c r="F30" s="1">
        <f t="shared" si="0"/>
        <v>2000</v>
      </c>
      <c r="G30" s="1">
        <f t="shared" si="2"/>
        <v>0</v>
      </c>
      <c r="H30" s="1">
        <f t="shared" si="3"/>
        <v>0</v>
      </c>
      <c r="I30" s="36">
        <f t="shared" si="4"/>
        <v>324.32185226846644</v>
      </c>
      <c r="J30" s="36">
        <f t="shared" si="5"/>
        <v>0</v>
      </c>
      <c r="K30" s="36">
        <f t="shared" si="6"/>
        <v>0</v>
      </c>
      <c r="L30" s="45">
        <f t="shared" si="7"/>
        <v>324.32185226846644</v>
      </c>
    </row>
    <row r="31" spans="1:12" x14ac:dyDescent="0.25">
      <c r="A31" s="1">
        <v>1129</v>
      </c>
      <c r="B31" s="1">
        <v>801</v>
      </c>
      <c r="C31" s="2">
        <v>808</v>
      </c>
      <c r="D31" s="1">
        <v>815</v>
      </c>
      <c r="E31" s="1">
        <f t="shared" si="1"/>
        <v>14000</v>
      </c>
      <c r="F31" s="1">
        <f t="shared" si="0"/>
        <v>14000</v>
      </c>
      <c r="G31" s="1">
        <f t="shared" si="2"/>
        <v>0</v>
      </c>
      <c r="H31" s="1">
        <f t="shared" si="3"/>
        <v>0</v>
      </c>
      <c r="I31" s="36">
        <f t="shared" si="4"/>
        <v>2270.252965879265</v>
      </c>
      <c r="J31" s="36">
        <f t="shared" si="5"/>
        <v>0</v>
      </c>
      <c r="K31" s="36">
        <f t="shared" si="6"/>
        <v>0</v>
      </c>
      <c r="L31" s="45">
        <f t="shared" si="7"/>
        <v>2270.252965879265</v>
      </c>
    </row>
    <row r="32" spans="1:12" x14ac:dyDescent="0.25">
      <c r="A32" s="1">
        <v>2229</v>
      </c>
      <c r="B32" s="1">
        <v>371</v>
      </c>
      <c r="C32" s="2">
        <v>375</v>
      </c>
      <c r="D32" s="1">
        <v>379</v>
      </c>
      <c r="E32" s="1">
        <f t="shared" si="1"/>
        <v>8000</v>
      </c>
      <c r="F32" s="1">
        <f t="shared" si="0"/>
        <v>8000</v>
      </c>
      <c r="G32" s="1">
        <f t="shared" si="2"/>
        <v>0</v>
      </c>
      <c r="H32" s="1">
        <f t="shared" si="3"/>
        <v>0</v>
      </c>
      <c r="I32" s="36">
        <f t="shared" si="4"/>
        <v>1297.2874090738658</v>
      </c>
      <c r="J32" s="36">
        <f t="shared" si="5"/>
        <v>0</v>
      </c>
      <c r="K32" s="36">
        <f t="shared" si="6"/>
        <v>0</v>
      </c>
      <c r="L32" s="45">
        <f t="shared" si="7"/>
        <v>1297.2874090738658</v>
      </c>
    </row>
    <row r="33" spans="1:12" x14ac:dyDescent="0.25">
      <c r="A33" s="1">
        <v>3329</v>
      </c>
      <c r="B33" s="1">
        <v>1007</v>
      </c>
      <c r="C33" s="2">
        <v>1013</v>
      </c>
      <c r="D33" s="1">
        <v>1017</v>
      </c>
      <c r="E33" s="1">
        <f t="shared" si="1"/>
        <v>10000</v>
      </c>
      <c r="F33" s="1">
        <f t="shared" si="0"/>
        <v>10000</v>
      </c>
      <c r="G33" s="1">
        <f t="shared" si="2"/>
        <v>0</v>
      </c>
      <c r="H33" s="1">
        <f t="shared" si="3"/>
        <v>0</v>
      </c>
      <c r="I33" s="36">
        <f t="shared" si="4"/>
        <v>1621.6092613423323</v>
      </c>
      <c r="J33" s="36">
        <f t="shared" si="5"/>
        <v>0</v>
      </c>
      <c r="K33" s="36">
        <f t="shared" si="6"/>
        <v>0</v>
      </c>
      <c r="L33" s="45">
        <f t="shared" si="7"/>
        <v>1621.6092613423323</v>
      </c>
    </row>
    <row r="34" spans="1:12" x14ac:dyDescent="0.25">
      <c r="A34" s="1">
        <v>4429</v>
      </c>
      <c r="B34" s="1">
        <v>582</v>
      </c>
      <c r="C34" s="2">
        <v>584</v>
      </c>
      <c r="D34" s="1">
        <v>592</v>
      </c>
      <c r="E34" s="1">
        <f t="shared" si="1"/>
        <v>10000</v>
      </c>
      <c r="F34" s="1">
        <f t="shared" si="0"/>
        <v>10000</v>
      </c>
      <c r="G34" s="1">
        <f t="shared" si="2"/>
        <v>0</v>
      </c>
      <c r="H34" s="1">
        <f t="shared" si="3"/>
        <v>0</v>
      </c>
      <c r="I34" s="36">
        <f t="shared" si="4"/>
        <v>1621.6092613423323</v>
      </c>
      <c r="J34" s="36">
        <f t="shared" si="5"/>
        <v>0</v>
      </c>
      <c r="K34" s="36">
        <f t="shared" si="6"/>
        <v>0</v>
      </c>
      <c r="L34" s="45">
        <f t="shared" si="7"/>
        <v>1621.6092613423323</v>
      </c>
    </row>
    <row r="35" spans="1:12" x14ac:dyDescent="0.25">
      <c r="A35" s="1">
        <v>5529</v>
      </c>
      <c r="B35" s="1">
        <v>822</v>
      </c>
      <c r="C35" s="2">
        <v>827</v>
      </c>
      <c r="D35" s="1">
        <v>835</v>
      </c>
      <c r="E35" s="1">
        <f t="shared" si="1"/>
        <v>13000</v>
      </c>
      <c r="F35" s="1">
        <f t="shared" si="0"/>
        <v>13000</v>
      </c>
      <c r="G35" s="1">
        <f t="shared" si="2"/>
        <v>0</v>
      </c>
      <c r="H35" s="1">
        <f t="shared" si="3"/>
        <v>0</v>
      </c>
      <c r="I35" s="36">
        <f t="shared" si="4"/>
        <v>2108.0920397450318</v>
      </c>
      <c r="J35" s="36">
        <f t="shared" si="5"/>
        <v>0</v>
      </c>
      <c r="K35" s="36">
        <f t="shared" si="6"/>
        <v>0</v>
      </c>
      <c r="L35" s="45">
        <f t="shared" si="7"/>
        <v>2108.0920397450318</v>
      </c>
    </row>
    <row r="36" spans="1:12" x14ac:dyDescent="0.25">
      <c r="A36" s="1">
        <v>6629</v>
      </c>
      <c r="B36" s="1">
        <v>553</v>
      </c>
      <c r="C36" s="2">
        <v>558</v>
      </c>
      <c r="D36" s="1">
        <v>563</v>
      </c>
      <c r="E36" s="1">
        <f t="shared" si="1"/>
        <v>10000</v>
      </c>
      <c r="F36" s="1">
        <f t="shared" si="0"/>
        <v>10000</v>
      </c>
      <c r="G36" s="1">
        <f t="shared" si="2"/>
        <v>0</v>
      </c>
      <c r="H36" s="1">
        <f t="shared" si="3"/>
        <v>0</v>
      </c>
      <c r="I36" s="36">
        <f t="shared" si="4"/>
        <v>1621.6092613423323</v>
      </c>
      <c r="J36" s="36">
        <f t="shared" si="5"/>
        <v>0</v>
      </c>
      <c r="K36" s="36">
        <f t="shared" si="6"/>
        <v>0</v>
      </c>
      <c r="L36" s="45">
        <f t="shared" si="7"/>
        <v>1621.6092613423323</v>
      </c>
    </row>
    <row r="37" spans="1:12" x14ac:dyDescent="0.25">
      <c r="A37" s="1">
        <v>7729</v>
      </c>
      <c r="B37" s="1">
        <v>778</v>
      </c>
      <c r="C37" s="2">
        <v>784</v>
      </c>
      <c r="D37" s="1">
        <v>791</v>
      </c>
      <c r="E37" s="1">
        <f t="shared" si="1"/>
        <v>13000</v>
      </c>
      <c r="F37" s="1">
        <f t="shared" si="0"/>
        <v>13000</v>
      </c>
      <c r="G37" s="1">
        <f t="shared" si="2"/>
        <v>0</v>
      </c>
      <c r="H37" s="1">
        <f t="shared" si="3"/>
        <v>0</v>
      </c>
      <c r="I37" s="36">
        <f t="shared" si="4"/>
        <v>2108.0920397450318</v>
      </c>
      <c r="J37" s="36">
        <f t="shared" si="5"/>
        <v>0</v>
      </c>
      <c r="K37" s="36">
        <f t="shared" si="6"/>
        <v>0</v>
      </c>
      <c r="L37" s="45">
        <f t="shared" si="7"/>
        <v>2108.0920397450318</v>
      </c>
    </row>
    <row r="38" spans="1:12" x14ac:dyDescent="0.25">
      <c r="A38" s="1">
        <v>8829</v>
      </c>
      <c r="B38" s="1">
        <v>808</v>
      </c>
      <c r="C38" s="2">
        <v>811</v>
      </c>
      <c r="D38" s="1">
        <v>814</v>
      </c>
      <c r="E38" s="1">
        <f t="shared" si="1"/>
        <v>6000</v>
      </c>
      <c r="F38" s="1">
        <f t="shared" si="0"/>
        <v>6000</v>
      </c>
      <c r="G38" s="1">
        <f t="shared" si="2"/>
        <v>0</v>
      </c>
      <c r="H38" s="1">
        <f t="shared" si="3"/>
        <v>0</v>
      </c>
      <c r="I38" s="36">
        <f t="shared" si="4"/>
        <v>972.96555680539927</v>
      </c>
      <c r="J38" s="36">
        <f t="shared" si="5"/>
        <v>0</v>
      </c>
      <c r="K38" s="36">
        <f t="shared" si="6"/>
        <v>0</v>
      </c>
      <c r="L38" s="45">
        <f t="shared" si="7"/>
        <v>972.96555680539927</v>
      </c>
    </row>
    <row r="39" spans="1:12" x14ac:dyDescent="0.25">
      <c r="A39" s="1">
        <v>1130</v>
      </c>
      <c r="B39" s="1">
        <v>836</v>
      </c>
      <c r="C39" s="2">
        <v>842</v>
      </c>
      <c r="D39" s="1">
        <v>850</v>
      </c>
      <c r="E39" s="1">
        <f t="shared" si="1"/>
        <v>14000</v>
      </c>
      <c r="F39" s="1">
        <f t="shared" si="0"/>
        <v>14000</v>
      </c>
      <c r="G39" s="1">
        <f t="shared" si="2"/>
        <v>0</v>
      </c>
      <c r="H39" s="1">
        <f t="shared" si="3"/>
        <v>0</v>
      </c>
      <c r="I39" s="36">
        <f t="shared" si="4"/>
        <v>2270.252965879265</v>
      </c>
      <c r="J39" s="36">
        <f t="shared" si="5"/>
        <v>0</v>
      </c>
      <c r="K39" s="36">
        <f t="shared" si="6"/>
        <v>0</v>
      </c>
      <c r="L39" s="45">
        <f t="shared" si="7"/>
        <v>2270.252965879265</v>
      </c>
    </row>
    <row r="40" spans="1:12" x14ac:dyDescent="0.25">
      <c r="A40" s="1">
        <v>2230</v>
      </c>
      <c r="B40" s="1">
        <v>853</v>
      </c>
      <c r="C40" s="2">
        <v>855</v>
      </c>
      <c r="D40" s="1">
        <v>855</v>
      </c>
      <c r="E40" s="1">
        <f t="shared" si="1"/>
        <v>2000</v>
      </c>
      <c r="F40" s="1">
        <f t="shared" si="0"/>
        <v>2000</v>
      </c>
      <c r="G40" s="1">
        <f t="shared" si="2"/>
        <v>0</v>
      </c>
      <c r="H40" s="1">
        <f t="shared" si="3"/>
        <v>0</v>
      </c>
      <c r="I40" s="36">
        <f t="shared" si="4"/>
        <v>324.32185226846644</v>
      </c>
      <c r="J40" s="36">
        <f t="shared" si="5"/>
        <v>0</v>
      </c>
      <c r="K40" s="36">
        <f t="shared" si="6"/>
        <v>0</v>
      </c>
      <c r="L40" s="45">
        <f t="shared" si="7"/>
        <v>324.32185226846644</v>
      </c>
    </row>
    <row r="41" spans="1:12" x14ac:dyDescent="0.25">
      <c r="A41" s="1">
        <v>3330</v>
      </c>
      <c r="B41" s="1">
        <v>633</v>
      </c>
      <c r="C41" s="2">
        <v>637</v>
      </c>
      <c r="D41" s="1">
        <v>641</v>
      </c>
      <c r="E41" s="1">
        <f t="shared" si="1"/>
        <v>8000</v>
      </c>
      <c r="F41" s="1">
        <f t="shared" si="0"/>
        <v>8000</v>
      </c>
      <c r="G41" s="1">
        <f t="shared" si="2"/>
        <v>0</v>
      </c>
      <c r="H41" s="1">
        <f t="shared" si="3"/>
        <v>0</v>
      </c>
      <c r="I41" s="36">
        <f t="shared" si="4"/>
        <v>1297.2874090738658</v>
      </c>
      <c r="J41" s="36">
        <f t="shared" si="5"/>
        <v>0</v>
      </c>
      <c r="K41" s="36">
        <f t="shared" si="6"/>
        <v>0</v>
      </c>
      <c r="L41" s="45">
        <f t="shared" si="7"/>
        <v>1297.2874090738658</v>
      </c>
    </row>
    <row r="42" spans="1:12" x14ac:dyDescent="0.25">
      <c r="A42" s="1">
        <v>4430</v>
      </c>
      <c r="B42" s="1">
        <v>323</v>
      </c>
      <c r="C42" s="2">
        <v>326</v>
      </c>
      <c r="D42" s="1">
        <v>331</v>
      </c>
      <c r="E42" s="1">
        <f t="shared" si="1"/>
        <v>8000</v>
      </c>
      <c r="F42" s="1">
        <f t="shared" si="0"/>
        <v>8000</v>
      </c>
      <c r="G42" s="1">
        <f t="shared" si="2"/>
        <v>0</v>
      </c>
      <c r="H42" s="1">
        <f t="shared" si="3"/>
        <v>0</v>
      </c>
      <c r="I42" s="36">
        <f t="shared" si="4"/>
        <v>1297.2874090738658</v>
      </c>
      <c r="J42" s="36">
        <f t="shared" si="5"/>
        <v>0</v>
      </c>
      <c r="K42" s="36">
        <f t="shared" si="6"/>
        <v>0</v>
      </c>
      <c r="L42" s="45">
        <f t="shared" si="7"/>
        <v>1297.2874090738658</v>
      </c>
    </row>
    <row r="43" spans="1:12" x14ac:dyDescent="0.25">
      <c r="A43" s="1">
        <v>5530</v>
      </c>
      <c r="B43" s="1">
        <v>214</v>
      </c>
      <c r="C43" s="2">
        <v>216</v>
      </c>
      <c r="D43" s="1">
        <v>218</v>
      </c>
      <c r="E43" s="1">
        <f t="shared" si="1"/>
        <v>4000</v>
      </c>
      <c r="F43" s="1">
        <f t="shared" si="0"/>
        <v>4000</v>
      </c>
      <c r="G43" s="1">
        <f t="shared" si="2"/>
        <v>0</v>
      </c>
      <c r="H43" s="1">
        <f t="shared" si="3"/>
        <v>0</v>
      </c>
      <c r="I43" s="36">
        <f t="shared" si="4"/>
        <v>648.64370453693289</v>
      </c>
      <c r="J43" s="36">
        <f t="shared" si="5"/>
        <v>0</v>
      </c>
      <c r="K43" s="36">
        <f t="shared" si="6"/>
        <v>0</v>
      </c>
      <c r="L43" s="45">
        <f t="shared" si="7"/>
        <v>648.64370453693289</v>
      </c>
    </row>
    <row r="44" spans="1:12" x14ac:dyDescent="0.25">
      <c r="A44" s="1">
        <v>6630</v>
      </c>
      <c r="B44" s="1">
        <v>602</v>
      </c>
      <c r="C44" s="2">
        <v>611</v>
      </c>
      <c r="D44" s="1">
        <v>618</v>
      </c>
      <c r="E44" s="1">
        <f t="shared" si="1"/>
        <v>16000</v>
      </c>
      <c r="F44" s="1">
        <f t="shared" si="0"/>
        <v>15000</v>
      </c>
      <c r="G44" s="1">
        <f t="shared" si="2"/>
        <v>1000</v>
      </c>
      <c r="H44" s="1">
        <f t="shared" si="3"/>
        <v>0</v>
      </c>
      <c r="I44" s="36">
        <f t="shared" si="4"/>
        <v>2432.4138920134983</v>
      </c>
      <c r="J44" s="36">
        <f t="shared" si="5"/>
        <v>243.24138920134982</v>
      </c>
      <c r="K44" s="36">
        <f t="shared" si="6"/>
        <v>0</v>
      </c>
      <c r="L44" s="45">
        <f t="shared" si="7"/>
        <v>2675.6552812148479</v>
      </c>
    </row>
    <row r="45" spans="1:12" x14ac:dyDescent="0.25">
      <c r="A45" s="1">
        <v>7730</v>
      </c>
      <c r="B45" s="1">
        <v>269</v>
      </c>
      <c r="C45" s="2">
        <v>273</v>
      </c>
      <c r="D45" s="1">
        <v>275</v>
      </c>
      <c r="E45" s="1">
        <f t="shared" si="1"/>
        <v>6000</v>
      </c>
      <c r="F45" s="1">
        <f t="shared" si="0"/>
        <v>6000</v>
      </c>
      <c r="G45" s="1">
        <f t="shared" si="2"/>
        <v>0</v>
      </c>
      <c r="H45" s="1">
        <f t="shared" si="3"/>
        <v>0</v>
      </c>
      <c r="I45" s="36">
        <f t="shared" si="4"/>
        <v>972.96555680539927</v>
      </c>
      <c r="J45" s="36">
        <f t="shared" si="5"/>
        <v>0</v>
      </c>
      <c r="K45" s="36">
        <f t="shared" si="6"/>
        <v>0</v>
      </c>
      <c r="L45" s="45">
        <f t="shared" si="7"/>
        <v>972.96555680539927</v>
      </c>
    </row>
    <row r="46" spans="1:12" x14ac:dyDescent="0.25">
      <c r="A46" s="1">
        <v>8830</v>
      </c>
      <c r="B46" s="1">
        <v>458</v>
      </c>
      <c r="C46" s="2">
        <v>462</v>
      </c>
      <c r="D46" s="1">
        <v>469</v>
      </c>
      <c r="E46" s="1">
        <f t="shared" si="1"/>
        <v>11000</v>
      </c>
      <c r="F46" s="1">
        <f t="shared" si="0"/>
        <v>11000</v>
      </c>
      <c r="G46" s="1">
        <f t="shared" si="2"/>
        <v>0</v>
      </c>
      <c r="H46" s="1">
        <f t="shared" si="3"/>
        <v>0</v>
      </c>
      <c r="I46" s="36">
        <f t="shared" si="4"/>
        <v>1783.7701874765653</v>
      </c>
      <c r="J46" s="36">
        <f t="shared" si="5"/>
        <v>0</v>
      </c>
      <c r="K46" s="36">
        <f t="shared" si="6"/>
        <v>0</v>
      </c>
      <c r="L46" s="45">
        <f t="shared" si="7"/>
        <v>1783.7701874765653</v>
      </c>
    </row>
    <row r="47" spans="1:12" x14ac:dyDescent="0.25">
      <c r="A47" s="1">
        <v>1131</v>
      </c>
      <c r="B47" s="1">
        <v>315</v>
      </c>
      <c r="C47" s="2">
        <v>315</v>
      </c>
      <c r="D47" s="1">
        <v>319</v>
      </c>
      <c r="E47" s="1">
        <f t="shared" si="1"/>
        <v>4000</v>
      </c>
      <c r="F47" s="1">
        <f t="shared" si="0"/>
        <v>4000</v>
      </c>
      <c r="G47" s="1">
        <f t="shared" si="2"/>
        <v>0</v>
      </c>
      <c r="H47" s="1">
        <f t="shared" si="3"/>
        <v>0</v>
      </c>
      <c r="I47" s="36">
        <f t="shared" si="4"/>
        <v>648.64370453693289</v>
      </c>
      <c r="J47" s="36">
        <f t="shared" si="5"/>
        <v>0</v>
      </c>
      <c r="K47" s="36">
        <f t="shared" si="6"/>
        <v>0</v>
      </c>
      <c r="L47" s="45">
        <f t="shared" si="7"/>
        <v>648.64370453693289</v>
      </c>
    </row>
    <row r="48" spans="1:12" x14ac:dyDescent="0.25">
      <c r="A48" s="1">
        <v>2231</v>
      </c>
      <c r="B48" s="1">
        <v>344</v>
      </c>
      <c r="C48" s="2">
        <v>349</v>
      </c>
      <c r="D48" s="1">
        <v>353</v>
      </c>
      <c r="E48" s="1">
        <f t="shared" si="1"/>
        <v>9000</v>
      </c>
      <c r="F48" s="1">
        <f t="shared" si="0"/>
        <v>9000</v>
      </c>
      <c r="G48" s="1">
        <f t="shared" si="2"/>
        <v>0</v>
      </c>
      <c r="H48" s="1">
        <f t="shared" si="3"/>
        <v>0</v>
      </c>
      <c r="I48" s="36">
        <f t="shared" si="4"/>
        <v>1459.448335208099</v>
      </c>
      <c r="J48" s="36">
        <f t="shared" si="5"/>
        <v>0</v>
      </c>
      <c r="K48" s="36">
        <f t="shared" si="6"/>
        <v>0</v>
      </c>
      <c r="L48" s="45">
        <f t="shared" si="7"/>
        <v>1459.448335208099</v>
      </c>
    </row>
    <row r="49" spans="1:12" x14ac:dyDescent="0.25">
      <c r="A49" s="1">
        <v>3331</v>
      </c>
      <c r="B49" s="1">
        <v>195</v>
      </c>
      <c r="C49" s="2">
        <v>197</v>
      </c>
      <c r="D49" s="1">
        <v>198</v>
      </c>
      <c r="E49" s="1">
        <f t="shared" si="1"/>
        <v>3000</v>
      </c>
      <c r="F49" s="1">
        <f t="shared" si="0"/>
        <v>3000</v>
      </c>
      <c r="G49" s="1">
        <f t="shared" si="2"/>
        <v>0</v>
      </c>
      <c r="H49" s="1">
        <f t="shared" si="3"/>
        <v>0</v>
      </c>
      <c r="I49" s="36">
        <f t="shared" si="4"/>
        <v>486.48277840269964</v>
      </c>
      <c r="J49" s="36">
        <f t="shared" si="5"/>
        <v>0</v>
      </c>
      <c r="K49" s="36">
        <f t="shared" si="6"/>
        <v>0</v>
      </c>
      <c r="L49" s="45">
        <f t="shared" si="7"/>
        <v>486.48277840269964</v>
      </c>
    </row>
    <row r="50" spans="1:12" x14ac:dyDescent="0.25">
      <c r="A50" s="1">
        <v>4431</v>
      </c>
      <c r="B50" s="1">
        <v>233</v>
      </c>
      <c r="C50" s="2">
        <v>235</v>
      </c>
      <c r="D50" s="1">
        <v>238</v>
      </c>
      <c r="E50" s="1">
        <f t="shared" si="1"/>
        <v>5000</v>
      </c>
      <c r="F50" s="1">
        <f t="shared" si="0"/>
        <v>5000</v>
      </c>
      <c r="G50" s="1">
        <f t="shared" si="2"/>
        <v>0</v>
      </c>
      <c r="H50" s="1">
        <f t="shared" si="3"/>
        <v>0</v>
      </c>
      <c r="I50" s="36">
        <f t="shared" si="4"/>
        <v>810.80463067116614</v>
      </c>
      <c r="J50" s="36">
        <f t="shared" si="5"/>
        <v>0</v>
      </c>
      <c r="K50" s="36">
        <f t="shared" si="6"/>
        <v>0</v>
      </c>
      <c r="L50" s="45">
        <f t="shared" si="7"/>
        <v>810.80463067116614</v>
      </c>
    </row>
    <row r="51" spans="1:12" x14ac:dyDescent="0.25">
      <c r="A51" s="1">
        <v>5531</v>
      </c>
      <c r="B51" s="1">
        <v>705</v>
      </c>
      <c r="C51" s="2">
        <v>711</v>
      </c>
      <c r="D51" s="1">
        <v>717</v>
      </c>
      <c r="E51" s="1">
        <f t="shared" si="1"/>
        <v>12000</v>
      </c>
      <c r="F51" s="1">
        <f t="shared" si="0"/>
        <v>12000</v>
      </c>
      <c r="G51" s="1">
        <f t="shared" si="2"/>
        <v>0</v>
      </c>
      <c r="H51" s="1">
        <f t="shared" si="3"/>
        <v>0</v>
      </c>
      <c r="I51" s="36">
        <f t="shared" si="4"/>
        <v>1945.9311136107985</v>
      </c>
      <c r="J51" s="36">
        <f t="shared" si="5"/>
        <v>0</v>
      </c>
      <c r="K51" s="36">
        <f t="shared" si="6"/>
        <v>0</v>
      </c>
      <c r="L51" s="45">
        <f t="shared" si="7"/>
        <v>1945.9311136107985</v>
      </c>
    </row>
    <row r="52" spans="1:12" x14ac:dyDescent="0.25">
      <c r="A52" s="1">
        <v>6631</v>
      </c>
      <c r="B52" s="1">
        <v>292</v>
      </c>
      <c r="C52" s="2">
        <v>295</v>
      </c>
      <c r="D52" s="1">
        <v>298</v>
      </c>
      <c r="E52" s="1">
        <f t="shared" si="1"/>
        <v>6000</v>
      </c>
      <c r="F52" s="1">
        <f t="shared" si="0"/>
        <v>6000</v>
      </c>
      <c r="G52" s="1">
        <f t="shared" si="2"/>
        <v>0</v>
      </c>
      <c r="H52" s="1">
        <f t="shared" si="3"/>
        <v>0</v>
      </c>
      <c r="I52" s="36">
        <f t="shared" si="4"/>
        <v>972.96555680539927</v>
      </c>
      <c r="J52" s="36">
        <f t="shared" si="5"/>
        <v>0</v>
      </c>
      <c r="K52" s="36">
        <f t="shared" si="6"/>
        <v>0</v>
      </c>
      <c r="L52" s="45">
        <f t="shared" si="7"/>
        <v>972.96555680539927</v>
      </c>
    </row>
    <row r="53" spans="1:12" x14ac:dyDescent="0.25">
      <c r="A53" s="1">
        <v>7731</v>
      </c>
      <c r="B53" s="1">
        <v>392</v>
      </c>
      <c r="C53" s="2">
        <v>397</v>
      </c>
      <c r="D53" s="1">
        <v>400</v>
      </c>
      <c r="E53" s="1">
        <f t="shared" si="1"/>
        <v>8000</v>
      </c>
      <c r="F53" s="1">
        <f t="shared" si="0"/>
        <v>8000</v>
      </c>
      <c r="G53" s="1">
        <f t="shared" si="2"/>
        <v>0</v>
      </c>
      <c r="H53" s="1">
        <f t="shared" si="3"/>
        <v>0</v>
      </c>
      <c r="I53" s="36">
        <f t="shared" si="4"/>
        <v>1297.2874090738658</v>
      </c>
      <c r="J53" s="36">
        <f t="shared" si="5"/>
        <v>0</v>
      </c>
      <c r="K53" s="36">
        <f t="shared" si="6"/>
        <v>0</v>
      </c>
      <c r="L53" s="45">
        <f t="shared" si="7"/>
        <v>1297.2874090738658</v>
      </c>
    </row>
    <row r="54" spans="1:12" x14ac:dyDescent="0.25">
      <c r="A54" s="14">
        <v>8831</v>
      </c>
      <c r="B54" s="1">
        <v>74.784999999999997</v>
      </c>
      <c r="C54" s="2">
        <v>77.375</v>
      </c>
      <c r="D54" s="1">
        <v>79.638000000000005</v>
      </c>
      <c r="E54" s="1">
        <f t="shared" si="1"/>
        <v>4853.0000000000091</v>
      </c>
      <c r="F54" s="1">
        <f t="shared" si="0"/>
        <v>4853.0000000000091</v>
      </c>
      <c r="G54" s="1">
        <f t="shared" si="2"/>
        <v>0</v>
      </c>
      <c r="H54" s="1">
        <f t="shared" si="3"/>
        <v>0</v>
      </c>
      <c r="I54" s="36">
        <f t="shared" si="4"/>
        <v>786.96697452943533</v>
      </c>
      <c r="J54" s="36">
        <f t="shared" si="5"/>
        <v>0</v>
      </c>
      <c r="K54" s="36">
        <f t="shared" si="6"/>
        <v>0</v>
      </c>
      <c r="L54" s="45">
        <f t="shared" si="7"/>
        <v>786.96697452943533</v>
      </c>
    </row>
    <row r="55" spans="1:12" x14ac:dyDescent="0.25">
      <c r="A55" s="1">
        <v>1132</v>
      </c>
      <c r="B55" s="1">
        <v>565</v>
      </c>
      <c r="C55" s="2">
        <v>571</v>
      </c>
      <c r="D55" s="1">
        <v>578</v>
      </c>
      <c r="E55" s="1">
        <f t="shared" si="1"/>
        <v>13000</v>
      </c>
      <c r="F55" s="1">
        <f t="shared" si="0"/>
        <v>13000</v>
      </c>
      <c r="G55" s="1">
        <f t="shared" si="2"/>
        <v>0</v>
      </c>
      <c r="H55" s="1">
        <f t="shared" si="3"/>
        <v>0</v>
      </c>
      <c r="I55" s="36">
        <f t="shared" si="4"/>
        <v>2108.0920397450318</v>
      </c>
      <c r="J55" s="36">
        <f t="shared" si="5"/>
        <v>0</v>
      </c>
      <c r="K55" s="36">
        <f t="shared" si="6"/>
        <v>0</v>
      </c>
      <c r="L55" s="45">
        <f t="shared" si="7"/>
        <v>2108.0920397450318</v>
      </c>
    </row>
    <row r="56" spans="1:12" x14ac:dyDescent="0.25">
      <c r="A56" s="1">
        <v>2232</v>
      </c>
      <c r="B56" s="1">
        <v>226</v>
      </c>
      <c r="C56" s="2">
        <v>228</v>
      </c>
      <c r="D56" s="1">
        <v>229</v>
      </c>
      <c r="E56" s="1">
        <f t="shared" si="1"/>
        <v>3000</v>
      </c>
      <c r="F56" s="1">
        <f t="shared" si="0"/>
        <v>3000</v>
      </c>
      <c r="G56" s="1">
        <f t="shared" si="2"/>
        <v>0</v>
      </c>
      <c r="H56" s="1">
        <f t="shared" si="3"/>
        <v>0</v>
      </c>
      <c r="I56" s="36">
        <f t="shared" si="4"/>
        <v>486.48277840269964</v>
      </c>
      <c r="J56" s="36">
        <f t="shared" si="5"/>
        <v>0</v>
      </c>
      <c r="K56" s="36">
        <f t="shared" si="6"/>
        <v>0</v>
      </c>
      <c r="L56" s="45">
        <f t="shared" si="7"/>
        <v>486.48277840269964</v>
      </c>
    </row>
    <row r="57" spans="1:12" x14ac:dyDescent="0.25">
      <c r="A57" s="1">
        <v>3332</v>
      </c>
      <c r="B57" s="1">
        <v>535</v>
      </c>
      <c r="C57" s="2">
        <v>536</v>
      </c>
      <c r="D57" s="1">
        <v>541</v>
      </c>
      <c r="E57" s="1">
        <f t="shared" si="1"/>
        <v>6000</v>
      </c>
      <c r="F57" s="1">
        <f t="shared" si="0"/>
        <v>6000</v>
      </c>
      <c r="G57" s="1">
        <f t="shared" si="2"/>
        <v>0</v>
      </c>
      <c r="H57" s="1">
        <f t="shared" si="3"/>
        <v>0</v>
      </c>
      <c r="I57" s="36">
        <f t="shared" si="4"/>
        <v>972.96555680539927</v>
      </c>
      <c r="J57" s="36">
        <f t="shared" si="5"/>
        <v>0</v>
      </c>
      <c r="K57" s="36">
        <f t="shared" si="6"/>
        <v>0</v>
      </c>
      <c r="L57" s="45">
        <f t="shared" si="7"/>
        <v>972.96555680539927</v>
      </c>
    </row>
    <row r="58" spans="1:12" x14ac:dyDescent="0.25">
      <c r="A58" s="1">
        <v>4432</v>
      </c>
      <c r="B58" s="1">
        <v>327</v>
      </c>
      <c r="C58" s="2">
        <v>328</v>
      </c>
      <c r="D58" s="1">
        <v>329</v>
      </c>
      <c r="E58" s="1">
        <f t="shared" si="1"/>
        <v>2000</v>
      </c>
      <c r="F58" s="1">
        <f t="shared" si="0"/>
        <v>2000</v>
      </c>
      <c r="G58" s="1">
        <f t="shared" si="2"/>
        <v>0</v>
      </c>
      <c r="H58" s="1">
        <f t="shared" si="3"/>
        <v>0</v>
      </c>
      <c r="I58" s="36">
        <f t="shared" si="4"/>
        <v>324.32185226846644</v>
      </c>
      <c r="J58" s="36">
        <f t="shared" si="5"/>
        <v>0</v>
      </c>
      <c r="K58" s="36">
        <f t="shared" si="6"/>
        <v>0</v>
      </c>
      <c r="L58" s="45">
        <f t="shared" si="7"/>
        <v>324.32185226846644</v>
      </c>
    </row>
    <row r="59" spans="1:12" x14ac:dyDescent="0.25">
      <c r="A59" s="1">
        <v>5532</v>
      </c>
      <c r="B59" s="1">
        <v>451</v>
      </c>
      <c r="C59" s="2">
        <v>454</v>
      </c>
      <c r="D59" s="1">
        <v>457</v>
      </c>
      <c r="E59" s="1">
        <f t="shared" si="1"/>
        <v>6000</v>
      </c>
      <c r="F59" s="1">
        <f t="shared" si="0"/>
        <v>6000</v>
      </c>
      <c r="G59" s="1">
        <f t="shared" si="2"/>
        <v>0</v>
      </c>
      <c r="H59" s="1">
        <f t="shared" si="3"/>
        <v>0</v>
      </c>
      <c r="I59" s="36">
        <f t="shared" si="4"/>
        <v>972.96555680539927</v>
      </c>
      <c r="J59" s="36">
        <f t="shared" si="5"/>
        <v>0</v>
      </c>
      <c r="K59" s="36">
        <f t="shared" si="6"/>
        <v>0</v>
      </c>
      <c r="L59" s="45">
        <f t="shared" si="7"/>
        <v>972.96555680539927</v>
      </c>
    </row>
    <row r="60" spans="1:12" x14ac:dyDescent="0.25">
      <c r="A60" s="1">
        <v>6632</v>
      </c>
      <c r="B60" s="1">
        <v>433</v>
      </c>
      <c r="C60" s="2">
        <v>437</v>
      </c>
      <c r="D60" s="1">
        <v>441</v>
      </c>
      <c r="E60" s="1">
        <f t="shared" si="1"/>
        <v>8000</v>
      </c>
      <c r="F60" s="1">
        <f t="shared" si="0"/>
        <v>8000</v>
      </c>
      <c r="G60" s="1">
        <f t="shared" si="2"/>
        <v>0</v>
      </c>
      <c r="H60" s="1">
        <f t="shared" si="3"/>
        <v>0</v>
      </c>
      <c r="I60" s="36">
        <f t="shared" si="4"/>
        <v>1297.2874090738658</v>
      </c>
      <c r="J60" s="36">
        <f t="shared" si="5"/>
        <v>0</v>
      </c>
      <c r="K60" s="36">
        <f t="shared" si="6"/>
        <v>0</v>
      </c>
      <c r="L60" s="45">
        <f t="shared" si="7"/>
        <v>1297.2874090738658</v>
      </c>
    </row>
    <row r="61" spans="1:12" x14ac:dyDescent="0.25">
      <c r="A61" s="1">
        <v>7732</v>
      </c>
      <c r="B61" s="1">
        <v>141</v>
      </c>
      <c r="C61" s="2">
        <v>142</v>
      </c>
      <c r="D61" s="1">
        <v>146</v>
      </c>
      <c r="E61" s="1">
        <f t="shared" si="1"/>
        <v>5000</v>
      </c>
      <c r="F61" s="1">
        <f t="shared" si="0"/>
        <v>5000</v>
      </c>
      <c r="G61" s="1">
        <f t="shared" si="2"/>
        <v>0</v>
      </c>
      <c r="H61" s="1">
        <f t="shared" si="3"/>
        <v>0</v>
      </c>
      <c r="I61" s="36">
        <f t="shared" si="4"/>
        <v>810.80463067116614</v>
      </c>
      <c r="J61" s="36">
        <f t="shared" si="5"/>
        <v>0</v>
      </c>
      <c r="K61" s="36">
        <f t="shared" si="6"/>
        <v>0</v>
      </c>
      <c r="L61" s="45">
        <f t="shared" si="7"/>
        <v>810.80463067116614</v>
      </c>
    </row>
    <row r="62" spans="1:12" x14ac:dyDescent="0.25">
      <c r="A62" s="13" t="s">
        <v>8</v>
      </c>
      <c r="B62" s="1"/>
      <c r="C62" s="2"/>
      <c r="D62" s="1"/>
      <c r="E62" s="2">
        <f>SUM(E3:E61)</f>
        <v>466930</v>
      </c>
      <c r="L62" s="46">
        <f>SUM(L3:L61)</f>
        <v>76934.008185864237</v>
      </c>
    </row>
  </sheetData>
  <mergeCells count="1">
    <mergeCell ref="F1:G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summary</vt:lpstr>
      <vt:lpstr>consumption</vt:lpstr>
      <vt:lpstr>A block</vt:lpstr>
      <vt:lpstr>B block </vt:lpstr>
      <vt:lpstr>C block</vt:lpstr>
      <vt:lpstr>D block</vt:lpstr>
      <vt:lpstr>E block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2025-12-07T07:23:26Z</dcterms:modified>
</cp:coreProperties>
</file>